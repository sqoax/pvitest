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cks" sheetId="1" r:id="rId5"/>
  </sheets>
  <definedNames/>
  <calcPr/>
</workbook>
</file>

<file path=xl/sharedStrings.xml><?xml version="1.0" encoding="utf-8"?>
<sst xmlns="http://schemas.openxmlformats.org/spreadsheetml/2006/main" count="135" uniqueCount="101">
  <si>
    <t>Tournament</t>
  </si>
  <si>
    <t>Date</t>
  </si>
  <si>
    <t>Hiatt</t>
  </si>
  <si>
    <t>Caden</t>
  </si>
  <si>
    <t>Bennett</t>
  </si>
  <si>
    <t>Ryan</t>
  </si>
  <si>
    <t>William</t>
  </si>
  <si>
    <t>Ian</t>
  </si>
  <si>
    <t>Mason</t>
  </si>
  <si>
    <t>Tim</t>
  </si>
  <si>
    <t>Drew</t>
  </si>
  <si>
    <t>Ben</t>
  </si>
  <si>
    <t>Hiatt $</t>
  </si>
  <si>
    <t>Caden $</t>
  </si>
  <si>
    <t>Bennett $</t>
  </si>
  <si>
    <t>Ryan $</t>
  </si>
  <si>
    <t>William $</t>
  </si>
  <si>
    <t>Ian $</t>
  </si>
  <si>
    <t>Mason $</t>
  </si>
  <si>
    <t>Tim $</t>
  </si>
  <si>
    <t>Drew $</t>
  </si>
  <si>
    <t>Ben $</t>
  </si>
  <si>
    <t>Sony</t>
  </si>
  <si>
    <t>Nico Echavarría</t>
  </si>
  <si>
    <t>Robert MacIntyre</t>
  </si>
  <si>
    <t>Russell Henley</t>
  </si>
  <si>
    <t>JJ Spaun</t>
  </si>
  <si>
    <t>Keegan Bradley</t>
  </si>
  <si>
    <t>Maverick McNealy</t>
  </si>
  <si>
    <t>Matthieu Pavon</t>
  </si>
  <si>
    <t>Ben Griffin</t>
  </si>
  <si>
    <t>Winning:</t>
  </si>
  <si>
    <t>Amex</t>
  </si>
  <si>
    <t>Harry Hall</t>
  </si>
  <si>
    <t>Si Woo Kim</t>
  </si>
  <si>
    <t>Max Greyserman</t>
  </si>
  <si>
    <t>Tony Finau</t>
  </si>
  <si>
    <t>Ryan Gerard</t>
  </si>
  <si>
    <t>Harris English</t>
  </si>
  <si>
    <t>Sam Burns</t>
  </si>
  <si>
    <t>Erik van Rooyen</t>
  </si>
  <si>
    <t>Gary Woodland</t>
  </si>
  <si>
    <t>By:</t>
  </si>
  <si>
    <t>Farmers</t>
  </si>
  <si>
    <t>Jason Day</t>
  </si>
  <si>
    <t>Will Zalatoris</t>
  </si>
  <si>
    <t>Chris Gotterup</t>
  </si>
  <si>
    <t>Ludvig Aberg</t>
  </si>
  <si>
    <t>NO PICK</t>
  </si>
  <si>
    <t>Waste</t>
  </si>
  <si>
    <t>Sahith Theegala</t>
  </si>
  <si>
    <t>Pierce Coody</t>
  </si>
  <si>
    <t>Jake Knapp</t>
  </si>
  <si>
    <t>JT Poston</t>
  </si>
  <si>
    <t>Total:</t>
  </si>
  <si>
    <t>Pebble</t>
  </si>
  <si>
    <t>Scottie Scheffler</t>
  </si>
  <si>
    <t>Viktor Hovland</t>
  </si>
  <si>
    <t>Justin Rose</t>
  </si>
  <si>
    <t>Tommy Fleetwood</t>
  </si>
  <si>
    <t>Hiatt:</t>
  </si>
  <si>
    <t>Genesis</t>
  </si>
  <si>
    <t>Rory Mcilroy</t>
  </si>
  <si>
    <t>Hideki Matsuyama</t>
  </si>
  <si>
    <t>Akshay Bhatia</t>
  </si>
  <si>
    <t>Xander Schauffele</t>
  </si>
  <si>
    <t xml:space="preserve">Caden: </t>
  </si>
  <si>
    <t>Cognizant</t>
  </si>
  <si>
    <t xml:space="preserve">Bennett: </t>
  </si>
  <si>
    <t>API</t>
  </si>
  <si>
    <t>Ryan:</t>
  </si>
  <si>
    <t>Players</t>
  </si>
  <si>
    <t>William:</t>
  </si>
  <si>
    <t>Valspar</t>
  </si>
  <si>
    <t>Ian:</t>
  </si>
  <si>
    <t>Houston</t>
  </si>
  <si>
    <t>Mason:</t>
  </si>
  <si>
    <t>Valero</t>
  </si>
  <si>
    <t xml:space="preserve">Tim: </t>
  </si>
  <si>
    <t>Masters</t>
  </si>
  <si>
    <t>Drew:</t>
  </si>
  <si>
    <t>Heritage</t>
  </si>
  <si>
    <t>Ben:</t>
  </si>
  <si>
    <t xml:space="preserve">Cadillac </t>
  </si>
  <si>
    <t>Truist</t>
  </si>
  <si>
    <t>AVG Week $</t>
  </si>
  <si>
    <t>PGA</t>
  </si>
  <si>
    <t>Byron Nelson</t>
  </si>
  <si>
    <t>Caden:</t>
  </si>
  <si>
    <t>Schwab</t>
  </si>
  <si>
    <t>Bennett:</t>
  </si>
  <si>
    <t>Memorial</t>
  </si>
  <si>
    <t>Canadian</t>
  </si>
  <si>
    <t>US Open</t>
  </si>
  <si>
    <t>Travelers</t>
  </si>
  <si>
    <t>John Deere</t>
  </si>
  <si>
    <t>Scottish</t>
  </si>
  <si>
    <t>The Open</t>
  </si>
  <si>
    <t>3M</t>
  </si>
  <si>
    <t>Rocket</t>
  </si>
  <si>
    <t>Wyndham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</si>
</sst>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mm d"/>
    <numFmt numFmtId="166" formatCode="0.000"/>
    <numFmt numFmtId="167" formatCode="mmmm d"/>
  </numFmts>
  <fonts count="12">
    <font>
      <sz val="10.0"/>
      <color rgb="FF000000"/>
      <name val="Arial"/>
      <scheme val="minor"/>
    </font>
    <font>
      <b/>
      <u/>
      <sz val="11.0"/>
      <color theme="1"/>
      <name val="Arial"/>
      <scheme val="minor"/>
    </font>
    <font>
      <b/>
      <u/>
      <sz val="11.0"/>
      <color theme="1"/>
      <name val="Arial"/>
      <scheme val="minor"/>
    </font>
    <font>
      <b/>
      <u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u/>
      <color theme="1"/>
      <name val="Arial"/>
      <scheme val="minor"/>
    </font>
    <font>
      <sz val="11.0"/>
      <color rgb="FF1A202C"/>
      <name val="&quot;Suisse Intl&quot;"/>
    </font>
    <font>
      <color rgb="FFFFFFFF"/>
      <name val="Arial"/>
      <scheme val="minor"/>
    </font>
    <font>
      <u/>
      <color theme="1"/>
      <name val="Arial"/>
      <scheme val="minor"/>
    </font>
    <font>
      <b/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2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166" xfId="0" applyFont="1" applyNumberFormat="1"/>
    <xf borderId="0" fillId="0" fontId="4" numFmtId="164" xfId="0" applyAlignment="1" applyFont="1" applyNumberFormat="1">
      <alignment horizontal="center"/>
    </xf>
    <xf borderId="0" fillId="0" fontId="4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4" numFmtId="164" xfId="0" applyFont="1" applyNumberFormat="1"/>
    <xf borderId="0" fillId="3" fontId="4" numFmtId="0" xfId="0" applyAlignment="1" applyFill="1" applyFont="1">
      <alignment readingOrder="0"/>
    </xf>
    <xf borderId="0" fillId="0" fontId="4" numFmtId="167" xfId="0" applyAlignment="1" applyFont="1" applyNumberFormat="1">
      <alignment readingOrder="0"/>
    </xf>
    <xf borderId="0" fillId="0" fontId="7" numFmtId="164" xfId="0" applyAlignment="1" applyFont="1" applyNumberFormat="1">
      <alignment readingOrder="0"/>
    </xf>
    <xf borderId="0" fillId="4" fontId="8" numFmtId="164" xfId="0" applyAlignment="1" applyFill="1" applyFont="1" applyNumberFormat="1">
      <alignment horizontal="center" readingOrder="0"/>
    </xf>
    <xf borderId="0" fillId="0" fontId="9" numFmtId="0" xfId="0" applyAlignment="1" applyFont="1">
      <alignment readingOrder="0"/>
    </xf>
    <xf borderId="0" fillId="0" fontId="4" numFmtId="2" xfId="0" applyFont="1" applyNumberFormat="1"/>
    <xf borderId="0" fillId="0" fontId="4" numFmtId="2" xfId="0" applyFont="1" applyNumberFormat="1"/>
    <xf borderId="1" fillId="0" fontId="4" numFmtId="0" xfId="0" applyAlignment="1" applyBorder="1" applyFont="1">
      <alignment readingOrder="0"/>
    </xf>
    <xf borderId="0" fillId="0" fontId="10" numFmtId="164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13"/>
    <col customWidth="1" min="3" max="3" width="14.5"/>
    <col customWidth="1" min="4" max="4" width="14.63"/>
    <col customWidth="1" min="5" max="5" width="13.75"/>
    <col customWidth="1" min="6" max="7" width="14.75"/>
    <col customWidth="1" min="8" max="8" width="14.63"/>
    <col customWidth="1" min="9" max="11" width="14.75"/>
    <col customWidth="1" min="12" max="12" width="14.63"/>
    <col customWidth="1" min="16" max="20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AI1" s="4"/>
      <c r="AJ1" s="4"/>
      <c r="AK1" s="4"/>
    </row>
    <row r="2">
      <c r="A2" s="5" t="s">
        <v>22</v>
      </c>
      <c r="B2" s="6">
        <v>46040.0</v>
      </c>
      <c r="C2" s="5" t="s">
        <v>23</v>
      </c>
      <c r="D2" s="5" t="s">
        <v>24</v>
      </c>
      <c r="E2" s="5" t="s">
        <v>25</v>
      </c>
      <c r="F2" s="7" t="s">
        <v>26</v>
      </c>
      <c r="G2" s="7" t="s">
        <v>26</v>
      </c>
      <c r="H2" s="7" t="s">
        <v>27</v>
      </c>
      <c r="I2" s="5" t="s">
        <v>23</v>
      </c>
      <c r="J2" s="7" t="s">
        <v>28</v>
      </c>
      <c r="K2" s="7" t="s">
        <v>29</v>
      </c>
      <c r="L2" s="7" t="s">
        <v>30</v>
      </c>
      <c r="M2" s="7">
        <v>0.0</v>
      </c>
      <c r="N2" s="7">
        <v>409500.0</v>
      </c>
      <c r="O2" s="7">
        <v>111839.0</v>
      </c>
      <c r="P2" s="7">
        <v>31522.4</v>
      </c>
      <c r="Q2" s="7">
        <v>31522.4</v>
      </c>
      <c r="R2" s="7">
        <v>0.0</v>
      </c>
      <c r="S2" s="7">
        <v>0.0</v>
      </c>
      <c r="T2" s="7">
        <v>72475.0</v>
      </c>
      <c r="U2" s="7">
        <v>20930.0</v>
      </c>
      <c r="V2" s="7">
        <v>111839.0</v>
      </c>
      <c r="W2" s="8"/>
      <c r="X2" s="8" t="s">
        <v>31</v>
      </c>
      <c r="Y2" s="9" t="str">
        <f t="array" ref="Y2">SUBSTITUTE(INDEX(X6:X15, MATCH(MAX(Y6:Y15), Y6:Y15, 0)), ":", "")</f>
        <v>Caden </v>
      </c>
      <c r="AH2" s="10"/>
      <c r="AI2" s="4"/>
      <c r="AJ2" s="4"/>
      <c r="AK2" s="4"/>
    </row>
    <row r="3">
      <c r="A3" s="5" t="s">
        <v>32</v>
      </c>
      <c r="B3" s="6">
        <v>46047.0</v>
      </c>
      <c r="C3" s="5" t="s">
        <v>33</v>
      </c>
      <c r="D3" s="5" t="s">
        <v>34</v>
      </c>
      <c r="E3" s="5" t="s">
        <v>35</v>
      </c>
      <c r="F3" s="7" t="s">
        <v>36</v>
      </c>
      <c r="G3" s="7" t="s">
        <v>37</v>
      </c>
      <c r="H3" s="7" t="s">
        <v>38</v>
      </c>
      <c r="I3" s="7" t="s">
        <v>39</v>
      </c>
      <c r="J3" s="7" t="s">
        <v>39</v>
      </c>
      <c r="K3" s="7" t="s">
        <v>40</v>
      </c>
      <c r="L3" s="7" t="s">
        <v>41</v>
      </c>
      <c r="M3" s="7">
        <v>81420.0</v>
      </c>
      <c r="N3" s="7">
        <v>322000.0</v>
      </c>
      <c r="O3" s="7">
        <v>20884.0</v>
      </c>
      <c r="P3" s="7">
        <v>0.0</v>
      </c>
      <c r="Q3" s="7">
        <v>616400.0</v>
      </c>
      <c r="R3" s="7">
        <v>57918.18</v>
      </c>
      <c r="S3" s="7">
        <v>57918.18</v>
      </c>
      <c r="T3" s="7">
        <v>57918.18</v>
      </c>
      <c r="U3" s="7">
        <v>0.0</v>
      </c>
      <c r="V3" s="7">
        <v>18492.0</v>
      </c>
      <c r="W3" s="8"/>
      <c r="X3" s="8" t="s">
        <v>42</v>
      </c>
      <c r="Y3" s="11">
        <f>MAX(Y6:Y15) - LARGE(Y6:Y15, 2)</f>
        <v>1155370</v>
      </c>
      <c r="AH3" s="12"/>
      <c r="AI3" s="4"/>
      <c r="AJ3" s="4"/>
      <c r="AK3" s="4"/>
    </row>
    <row r="4">
      <c r="A4" s="5" t="s">
        <v>43</v>
      </c>
      <c r="B4" s="6">
        <v>46054.0</v>
      </c>
      <c r="C4" s="5" t="s">
        <v>44</v>
      </c>
      <c r="D4" s="5" t="s">
        <v>45</v>
      </c>
      <c r="E4" s="5" t="s">
        <v>37</v>
      </c>
      <c r="F4" s="7" t="s">
        <v>44</v>
      </c>
      <c r="G4" s="7" t="s">
        <v>44</v>
      </c>
      <c r="H4" s="7" t="s">
        <v>46</v>
      </c>
      <c r="I4" s="7" t="s">
        <v>44</v>
      </c>
      <c r="J4" s="7" t="s">
        <v>47</v>
      </c>
      <c r="K4" s="7" t="s">
        <v>44</v>
      </c>
      <c r="L4" s="7" t="s">
        <v>48</v>
      </c>
      <c r="M4" s="7">
        <v>41760.0</v>
      </c>
      <c r="N4" s="7">
        <v>0.0</v>
      </c>
      <c r="O4" s="7">
        <v>193028.57</v>
      </c>
      <c r="P4" s="7">
        <v>41760.0</v>
      </c>
      <c r="Q4" s="7">
        <v>41760.0</v>
      </c>
      <c r="R4" s="7">
        <v>132000.0</v>
      </c>
      <c r="S4" s="7">
        <v>41760.0</v>
      </c>
      <c r="T4" s="7">
        <v>0.0</v>
      </c>
      <c r="U4" s="7">
        <v>41760.0</v>
      </c>
      <c r="V4" s="7">
        <v>0.0</v>
      </c>
      <c r="Y4" s="9"/>
      <c r="AH4" s="10"/>
      <c r="AI4" s="4"/>
      <c r="AJ4" s="4"/>
      <c r="AK4" s="4"/>
    </row>
    <row r="5">
      <c r="A5" s="5" t="s">
        <v>49</v>
      </c>
      <c r="B5" s="6">
        <v>46061.0</v>
      </c>
      <c r="C5" s="5" t="s">
        <v>39</v>
      </c>
      <c r="D5" s="7" t="s">
        <v>28</v>
      </c>
      <c r="E5" s="5" t="s">
        <v>24</v>
      </c>
      <c r="F5" s="7" t="s">
        <v>28</v>
      </c>
      <c r="G5" s="7" t="s">
        <v>50</v>
      </c>
      <c r="H5" s="7" t="s">
        <v>28</v>
      </c>
      <c r="I5" s="7" t="s">
        <v>51</v>
      </c>
      <c r="J5" s="7" t="s">
        <v>30</v>
      </c>
      <c r="K5" s="7" t="s">
        <v>52</v>
      </c>
      <c r="L5" s="7" t="s">
        <v>53</v>
      </c>
      <c r="M5" s="7">
        <v>0.0</v>
      </c>
      <c r="N5" s="7">
        <v>188000.0</v>
      </c>
      <c r="O5" s="7">
        <v>0.0</v>
      </c>
      <c r="P5" s="7">
        <v>188000.0</v>
      </c>
      <c r="Q5" s="7">
        <v>122720.0</v>
      </c>
      <c r="R5" s="7">
        <v>188000.0</v>
      </c>
      <c r="S5" s="7">
        <v>242400.0</v>
      </c>
      <c r="T5" s="7">
        <v>62948.57</v>
      </c>
      <c r="U5" s="7">
        <v>300000.0</v>
      </c>
      <c r="V5" s="7">
        <v>46800.0</v>
      </c>
      <c r="W5" s="13"/>
      <c r="X5" s="13" t="s">
        <v>54</v>
      </c>
      <c r="Y5" s="9"/>
      <c r="AH5" s="12"/>
      <c r="AI5" s="4"/>
      <c r="AJ5" s="4"/>
      <c r="AK5" s="4"/>
    </row>
    <row r="6">
      <c r="A6" s="14" t="s">
        <v>55</v>
      </c>
      <c r="B6" s="6">
        <v>46068.0</v>
      </c>
      <c r="C6" s="5" t="s">
        <v>56</v>
      </c>
      <c r="D6" s="5" t="s">
        <v>57</v>
      </c>
      <c r="E6" s="7" t="s">
        <v>58</v>
      </c>
      <c r="F6" s="5" t="s">
        <v>25</v>
      </c>
      <c r="G6" s="7" t="s">
        <v>58</v>
      </c>
      <c r="H6" s="7" t="s">
        <v>57</v>
      </c>
      <c r="I6" s="7" t="s">
        <v>59</v>
      </c>
      <c r="J6" s="7" t="s">
        <v>59</v>
      </c>
      <c r="K6" s="7" t="s">
        <v>34</v>
      </c>
      <c r="L6" s="7" t="s">
        <v>57</v>
      </c>
      <c r="M6" s="7">
        <v>877500.0</v>
      </c>
      <c r="N6" s="7">
        <v>39750.0</v>
      </c>
      <c r="O6" s="7">
        <v>78375.0</v>
      </c>
      <c r="P6" s="7">
        <v>235000.0</v>
      </c>
      <c r="Q6" s="7">
        <v>78375.0</v>
      </c>
      <c r="R6" s="7">
        <v>39750.0</v>
      </c>
      <c r="S6" s="7">
        <v>877500.0</v>
      </c>
      <c r="T6" s="7">
        <v>877500.0</v>
      </c>
      <c r="U6" s="7">
        <v>57000.0</v>
      </c>
      <c r="V6" s="7">
        <v>39750.0</v>
      </c>
      <c r="W6" s="5"/>
      <c r="X6" s="5" t="s">
        <v>60</v>
      </c>
      <c r="Y6" s="11">
        <f>SUM(M2:M1007)</f>
        <v>1603880</v>
      </c>
      <c r="AH6" s="10"/>
      <c r="AI6" s="4"/>
      <c r="AJ6" s="4"/>
      <c r="AK6" s="4"/>
    </row>
    <row r="7">
      <c r="A7" s="14" t="s">
        <v>61</v>
      </c>
      <c r="B7" s="6">
        <v>46075.0</v>
      </c>
      <c r="C7" s="7" t="s">
        <v>59</v>
      </c>
      <c r="D7" s="5" t="s">
        <v>62</v>
      </c>
      <c r="E7" s="5" t="s">
        <v>36</v>
      </c>
      <c r="F7" s="7" t="s">
        <v>63</v>
      </c>
      <c r="G7" s="7" t="s">
        <v>63</v>
      </c>
      <c r="H7" s="7" t="s">
        <v>64</v>
      </c>
      <c r="I7" s="7" t="s">
        <v>63</v>
      </c>
      <c r="J7" s="7" t="s">
        <v>63</v>
      </c>
      <c r="K7" s="7" t="s">
        <v>63</v>
      </c>
      <c r="L7" s="7" t="s">
        <v>65</v>
      </c>
      <c r="M7" s="7">
        <v>603200.0</v>
      </c>
      <c r="N7" s="7">
        <v>1800000.0</v>
      </c>
      <c r="O7" s="7">
        <v>136500.0</v>
      </c>
      <c r="P7" s="7">
        <v>136500.0</v>
      </c>
      <c r="Q7" s="7">
        <v>136500.0</v>
      </c>
      <c r="R7" s="7">
        <v>319000.0</v>
      </c>
      <c r="S7" s="7">
        <v>136500.0</v>
      </c>
      <c r="T7" s="7">
        <v>136500.0</v>
      </c>
      <c r="U7" s="7">
        <v>136500.0</v>
      </c>
      <c r="V7" s="7">
        <v>603200.0</v>
      </c>
      <c r="W7" s="5"/>
      <c r="X7" s="5" t="s">
        <v>66</v>
      </c>
      <c r="Y7" s="11">
        <f>SUM(N2:N1007)</f>
        <v>2759250</v>
      </c>
      <c r="AH7" s="12"/>
      <c r="AI7" s="4"/>
      <c r="AJ7" s="4"/>
      <c r="AK7" s="4"/>
    </row>
    <row r="8">
      <c r="A8" s="5" t="s">
        <v>67</v>
      </c>
      <c r="B8" s="6">
        <v>46082.0</v>
      </c>
      <c r="F8" s="15"/>
      <c r="G8" s="15"/>
      <c r="H8" s="15"/>
      <c r="I8" s="15"/>
      <c r="J8" s="15"/>
      <c r="K8" s="15"/>
      <c r="L8" s="15"/>
      <c r="M8" s="15"/>
      <c r="N8" s="7"/>
      <c r="O8" s="7"/>
      <c r="P8" s="16"/>
      <c r="Q8" s="16"/>
      <c r="R8" s="16"/>
      <c r="S8" s="16"/>
      <c r="T8" s="16"/>
      <c r="U8" s="7"/>
      <c r="V8" s="7"/>
      <c r="W8" s="5"/>
      <c r="X8" s="5" t="s">
        <v>68</v>
      </c>
      <c r="Y8" s="11">
        <f>SUM(O2:O1007)</f>
        <v>540626.57</v>
      </c>
      <c r="AH8" s="10"/>
      <c r="AI8" s="4"/>
      <c r="AJ8" s="4"/>
      <c r="AK8" s="4"/>
    </row>
    <row r="9">
      <c r="A9" s="14" t="s">
        <v>69</v>
      </c>
      <c r="B9" s="6">
        <v>46089.0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16"/>
      <c r="V9" s="16"/>
      <c r="X9" s="5" t="s">
        <v>70</v>
      </c>
      <c r="Y9" s="11">
        <f>SUM(P:P)</f>
        <v>632782.4</v>
      </c>
      <c r="AH9" s="10"/>
      <c r="AI9" s="4"/>
      <c r="AJ9" s="4"/>
      <c r="AK9" s="4"/>
    </row>
    <row r="10">
      <c r="A10" s="14" t="s">
        <v>71</v>
      </c>
      <c r="B10" s="6">
        <v>46096.0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16"/>
      <c r="V10" s="16"/>
      <c r="X10" s="5" t="s">
        <v>72</v>
      </c>
      <c r="Y10" s="11">
        <f>sum(Q:Q)</f>
        <v>1027277.4</v>
      </c>
      <c r="AH10" s="10"/>
      <c r="AI10" s="4"/>
      <c r="AJ10" s="4"/>
      <c r="AK10" s="4"/>
    </row>
    <row r="11">
      <c r="A11" s="5" t="s">
        <v>73</v>
      </c>
      <c r="B11" s="6">
        <v>46103.0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16"/>
      <c r="V11" s="16"/>
      <c r="X11" s="5" t="s">
        <v>74</v>
      </c>
      <c r="Y11" s="11">
        <f>SUM(R:R)</f>
        <v>736668.18</v>
      </c>
      <c r="AH11" s="10"/>
      <c r="AI11" s="4"/>
      <c r="AJ11" s="4"/>
      <c r="AK11" s="4"/>
    </row>
    <row r="12">
      <c r="A12" s="5" t="s">
        <v>75</v>
      </c>
      <c r="B12" s="6">
        <v>46110.0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16"/>
      <c r="V12" s="16"/>
      <c r="X12" s="5" t="s">
        <v>76</v>
      </c>
      <c r="Y12" s="11">
        <f>SUM(S:S)</f>
        <v>1356078.18</v>
      </c>
      <c r="AH12" s="10"/>
      <c r="AI12" s="4"/>
      <c r="AJ12" s="4"/>
      <c r="AK12" s="4"/>
    </row>
    <row r="13">
      <c r="A13" s="5" t="s">
        <v>77</v>
      </c>
      <c r="B13" s="6">
        <v>46117.0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16"/>
      <c r="V13" s="16"/>
      <c r="X13" s="5" t="s">
        <v>78</v>
      </c>
      <c r="Y13" s="11">
        <f>SUM(T:T)</f>
        <v>1207341.75</v>
      </c>
      <c r="AH13" s="10"/>
      <c r="AI13" s="4"/>
      <c r="AJ13" s="4"/>
      <c r="AK13" s="4"/>
    </row>
    <row r="14">
      <c r="A14" s="17" t="s">
        <v>79</v>
      </c>
      <c r="B14" s="6">
        <v>46124.0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16"/>
      <c r="V14" s="16"/>
      <c r="X14" s="5" t="s">
        <v>80</v>
      </c>
      <c r="Y14" s="11">
        <f>SUM(U:U)</f>
        <v>556190</v>
      </c>
      <c r="AH14" s="10"/>
      <c r="AI14" s="4"/>
      <c r="AJ14" s="4"/>
      <c r="AK14" s="4"/>
    </row>
    <row r="15">
      <c r="A15" s="14" t="s">
        <v>81</v>
      </c>
      <c r="B15" s="6">
        <v>46131.0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16"/>
      <c r="V15" s="16"/>
      <c r="X15" s="5" t="s">
        <v>82</v>
      </c>
      <c r="Y15" s="11">
        <f>SUM(V:V)</f>
        <v>820081</v>
      </c>
      <c r="AH15" s="10"/>
      <c r="AI15" s="4"/>
      <c r="AJ15" s="4"/>
      <c r="AK15" s="4"/>
    </row>
    <row r="16">
      <c r="A16" s="14" t="s">
        <v>83</v>
      </c>
      <c r="B16" s="18">
        <v>46145.0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16"/>
      <c r="V16" s="16"/>
      <c r="Y16" s="9"/>
      <c r="AH16" s="10"/>
      <c r="AI16" s="4"/>
      <c r="AJ16" s="4"/>
      <c r="AK16" s="4"/>
    </row>
    <row r="17">
      <c r="A17" s="14" t="s">
        <v>84</v>
      </c>
      <c r="B17" s="18">
        <v>46152.0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16"/>
      <c r="Q17" s="16"/>
      <c r="R17" s="16"/>
      <c r="S17" s="16"/>
      <c r="T17" s="16"/>
      <c r="U17" s="19"/>
      <c r="V17" s="19"/>
      <c r="W17" s="13"/>
      <c r="X17" s="13" t="s">
        <v>85</v>
      </c>
      <c r="Y17" s="9"/>
      <c r="AH17" s="10"/>
      <c r="AI17" s="4"/>
      <c r="AJ17" s="4"/>
      <c r="AK17" s="4"/>
    </row>
    <row r="18">
      <c r="A18" s="17" t="s">
        <v>86</v>
      </c>
      <c r="B18" s="18">
        <v>46159.0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16"/>
      <c r="Q18" s="16"/>
      <c r="R18" s="16"/>
      <c r="S18" s="16"/>
      <c r="T18" s="16"/>
      <c r="U18" s="7"/>
      <c r="V18" s="7"/>
      <c r="W18" s="5"/>
      <c r="X18" s="5" t="s">
        <v>60</v>
      </c>
      <c r="Y18" s="11">
        <f>AVERAGE(M2:M1007)</f>
        <v>267313.3333</v>
      </c>
      <c r="AH18" s="10"/>
      <c r="AI18" s="4"/>
      <c r="AJ18" s="4"/>
      <c r="AK18" s="4"/>
    </row>
    <row r="19">
      <c r="A19" s="5" t="s">
        <v>87</v>
      </c>
      <c r="B19" s="18">
        <v>46166.0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16"/>
      <c r="Q19" s="16"/>
      <c r="R19" s="16"/>
      <c r="S19" s="16"/>
      <c r="T19" s="16"/>
      <c r="U19" s="7"/>
      <c r="V19" s="7"/>
      <c r="W19" s="5"/>
      <c r="X19" s="5" t="s">
        <v>88</v>
      </c>
      <c r="Y19" s="11">
        <f>AVERAGE(N2:N1007)</f>
        <v>459875</v>
      </c>
      <c r="AH19" s="10"/>
      <c r="AI19" s="4"/>
      <c r="AJ19" s="4"/>
      <c r="AK19" s="4"/>
    </row>
    <row r="20">
      <c r="A20" s="5" t="s">
        <v>89</v>
      </c>
      <c r="B20" s="18">
        <v>46173.0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16"/>
      <c r="Q20" s="16"/>
      <c r="R20" s="16"/>
      <c r="S20" s="16"/>
      <c r="T20" s="16"/>
      <c r="U20" s="7"/>
      <c r="V20" s="7"/>
      <c r="W20" s="5"/>
      <c r="X20" s="5" t="s">
        <v>90</v>
      </c>
      <c r="Y20" s="11">
        <f>AVERAGE(O2:O1007)</f>
        <v>90104.42833</v>
      </c>
      <c r="AH20" s="10"/>
      <c r="AI20" s="4"/>
      <c r="AJ20" s="4"/>
      <c r="AK20" s="4"/>
    </row>
    <row r="21">
      <c r="A21" s="14" t="s">
        <v>91</v>
      </c>
      <c r="B21" s="6">
        <v>46180.0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16"/>
      <c r="Q21" s="16"/>
      <c r="R21" s="16"/>
      <c r="S21" s="16"/>
      <c r="T21" s="16"/>
      <c r="U21" s="16"/>
      <c r="V21" s="16"/>
      <c r="X21" s="5" t="s">
        <v>70</v>
      </c>
      <c r="Y21" s="11">
        <f>AVERAGE(P:P)</f>
        <v>105463.7333</v>
      </c>
      <c r="AH21" s="10"/>
      <c r="AI21" s="4"/>
      <c r="AJ21" s="4"/>
      <c r="AK21" s="4"/>
    </row>
    <row r="22">
      <c r="A22" s="5" t="s">
        <v>92</v>
      </c>
      <c r="B22" s="6">
        <v>46187.0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16"/>
      <c r="Q22" s="16"/>
      <c r="R22" s="16"/>
      <c r="S22" s="16"/>
      <c r="T22" s="16"/>
      <c r="U22" s="16"/>
      <c r="V22" s="16"/>
      <c r="X22" s="5" t="s">
        <v>72</v>
      </c>
      <c r="Y22" s="11">
        <f>AVERAGE(Q:Q)</f>
        <v>171212.9</v>
      </c>
      <c r="AH22" s="10"/>
      <c r="AI22" s="4"/>
      <c r="AJ22" s="4"/>
      <c r="AK22" s="4"/>
    </row>
    <row r="23">
      <c r="A23" s="17" t="s">
        <v>93</v>
      </c>
      <c r="B23" s="6">
        <v>46194.0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16"/>
      <c r="Q23" s="16"/>
      <c r="R23" s="16"/>
      <c r="S23" s="16"/>
      <c r="T23" s="16"/>
      <c r="U23" s="16"/>
      <c r="V23" s="16"/>
      <c r="X23" s="5" t="s">
        <v>74</v>
      </c>
      <c r="Y23" s="11">
        <f>average(R:R)</f>
        <v>122778.03</v>
      </c>
      <c r="AH23" s="10"/>
      <c r="AI23" s="4"/>
      <c r="AJ23" s="4"/>
      <c r="AK23" s="4"/>
    </row>
    <row r="24">
      <c r="A24" s="14" t="s">
        <v>94</v>
      </c>
      <c r="B24" s="6">
        <v>46201.0</v>
      </c>
      <c r="F24" s="20"/>
      <c r="G24" s="20"/>
      <c r="H24" s="20"/>
      <c r="I24" s="20"/>
      <c r="J24" s="20"/>
      <c r="K24" s="20"/>
      <c r="L24" s="20"/>
      <c r="M24" s="20"/>
      <c r="N24" s="7"/>
      <c r="O24" s="7"/>
      <c r="P24" s="16"/>
      <c r="Q24" s="16"/>
      <c r="R24" s="16"/>
      <c r="S24" s="16"/>
      <c r="T24" s="16"/>
      <c r="U24" s="16"/>
      <c r="V24" s="16"/>
      <c r="X24" s="5" t="s">
        <v>76</v>
      </c>
      <c r="Y24" s="11">
        <f>average(S:S)</f>
        <v>226013.03</v>
      </c>
      <c r="AH24" s="10"/>
      <c r="AI24" s="4"/>
      <c r="AJ24" s="4"/>
      <c r="AK24" s="4"/>
    </row>
    <row r="25">
      <c r="A25" s="5" t="s">
        <v>95</v>
      </c>
      <c r="B25" s="6">
        <v>46208.0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16"/>
      <c r="Q25" s="16"/>
      <c r="R25" s="16"/>
      <c r="S25" s="16"/>
      <c r="T25" s="16"/>
      <c r="U25" s="16"/>
      <c r="V25" s="16"/>
      <c r="X25" s="5" t="s">
        <v>78</v>
      </c>
      <c r="Y25" s="11">
        <f>average(T:T)</f>
        <v>201223.625</v>
      </c>
      <c r="AH25" s="10"/>
      <c r="AI25" s="4"/>
      <c r="AJ25" s="4"/>
      <c r="AK25" s="4"/>
    </row>
    <row r="26">
      <c r="A26" s="5" t="s">
        <v>96</v>
      </c>
      <c r="B26" s="6">
        <v>46215.0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16"/>
      <c r="Q26" s="16"/>
      <c r="R26" s="16"/>
      <c r="S26" s="16"/>
      <c r="T26" s="16"/>
      <c r="U26" s="16"/>
      <c r="V26" s="16"/>
      <c r="X26" s="5" t="s">
        <v>80</v>
      </c>
      <c r="Y26" s="11">
        <f>AVERAGE(U:U)</f>
        <v>92698.33333</v>
      </c>
      <c r="AH26" s="10"/>
      <c r="AI26" s="4"/>
      <c r="AJ26" s="4"/>
      <c r="AK26" s="4"/>
    </row>
    <row r="27">
      <c r="A27" s="17" t="s">
        <v>97</v>
      </c>
      <c r="B27" s="6">
        <v>46222.0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16"/>
      <c r="Q27" s="16"/>
      <c r="R27" s="16"/>
      <c r="S27" s="16"/>
      <c r="T27" s="16"/>
      <c r="U27" s="16"/>
      <c r="V27" s="16"/>
      <c r="X27" s="5" t="s">
        <v>82</v>
      </c>
      <c r="Y27" s="11">
        <f>AVERAGE(V:V)</f>
        <v>136680.1667</v>
      </c>
      <c r="AH27" s="10"/>
      <c r="AI27" s="4"/>
      <c r="AJ27" s="4"/>
      <c r="AK27" s="4"/>
    </row>
    <row r="28">
      <c r="A28" s="5" t="s">
        <v>98</v>
      </c>
      <c r="B28" s="6">
        <v>46229.0</v>
      </c>
      <c r="F28" s="7"/>
      <c r="G28" s="7"/>
      <c r="H28" s="7"/>
      <c r="I28" s="7"/>
      <c r="J28" s="7"/>
      <c r="K28" s="7"/>
      <c r="L28" s="7"/>
      <c r="M28" s="7"/>
      <c r="N28" s="20"/>
      <c r="O28" s="20"/>
      <c r="P28" s="16"/>
      <c r="Q28" s="16"/>
      <c r="R28" s="16"/>
      <c r="S28" s="16"/>
      <c r="T28" s="16"/>
      <c r="U28" s="16"/>
      <c r="V28" s="16"/>
      <c r="AH28" s="10"/>
      <c r="AI28" s="4"/>
      <c r="AJ28" s="4"/>
      <c r="AK28" s="4"/>
    </row>
    <row r="29">
      <c r="A29" s="5" t="s">
        <v>99</v>
      </c>
      <c r="B29" s="6">
        <v>46236.0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16"/>
      <c r="Q29" s="16"/>
      <c r="R29" s="16"/>
      <c r="S29" s="16"/>
      <c r="T29" s="16"/>
      <c r="U29" s="16"/>
      <c r="V29" s="16"/>
      <c r="AH29" s="10"/>
      <c r="AI29" s="4"/>
      <c r="AJ29" s="4"/>
      <c r="AK29" s="4"/>
    </row>
    <row r="30">
      <c r="A30" s="5" t="s">
        <v>100</v>
      </c>
      <c r="B30" s="6">
        <v>46243.0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16"/>
      <c r="Q30" s="16"/>
      <c r="R30" s="16"/>
      <c r="S30" s="16"/>
      <c r="T30" s="16"/>
      <c r="U30" s="16"/>
      <c r="V30" s="16"/>
      <c r="AH30" s="10"/>
      <c r="AI30" s="4"/>
      <c r="AJ30" s="4"/>
      <c r="AK30" s="4"/>
    </row>
    <row r="31">
      <c r="A31" s="21"/>
      <c r="F31" s="7"/>
      <c r="G31" s="7"/>
      <c r="H31" s="7"/>
      <c r="I31" s="7"/>
      <c r="J31" s="7"/>
      <c r="K31" s="7"/>
      <c r="L31" s="7"/>
      <c r="M31" s="7"/>
      <c r="N31" s="7"/>
      <c r="O31" s="7"/>
      <c r="P31" s="16"/>
      <c r="Q31" s="16"/>
      <c r="R31" s="16"/>
      <c r="S31" s="16"/>
      <c r="T31" s="16"/>
      <c r="U31" s="16"/>
      <c r="V31" s="16"/>
      <c r="AH31" s="10"/>
      <c r="AI31" s="4"/>
      <c r="AJ31" s="4"/>
      <c r="AK31" s="4"/>
    </row>
    <row r="32">
      <c r="F32" s="7"/>
      <c r="G32" s="7"/>
      <c r="H32" s="7"/>
      <c r="I32" s="7"/>
      <c r="J32" s="7"/>
      <c r="K32" s="7"/>
      <c r="L32" s="7"/>
      <c r="M32" s="7"/>
      <c r="N32" s="7"/>
      <c r="O32" s="7"/>
      <c r="P32" s="16"/>
      <c r="Q32" s="16"/>
      <c r="R32" s="16"/>
      <c r="S32" s="16"/>
      <c r="T32" s="16"/>
      <c r="U32" s="19"/>
      <c r="V32" s="19"/>
      <c r="W32" s="13"/>
      <c r="X32" s="13"/>
      <c r="AH32" s="10"/>
      <c r="AI32" s="4"/>
      <c r="AJ32" s="4"/>
      <c r="AK32" s="4"/>
    </row>
    <row r="33">
      <c r="A33" s="5"/>
      <c r="F33" s="7"/>
      <c r="G33" s="7"/>
      <c r="H33" s="7"/>
      <c r="I33" s="7"/>
      <c r="J33" s="7"/>
      <c r="K33" s="7"/>
      <c r="L33" s="7"/>
      <c r="M33" s="7"/>
      <c r="N33" s="7"/>
      <c r="O33" s="7"/>
      <c r="P33" s="16"/>
      <c r="Q33" s="16"/>
      <c r="R33" s="16"/>
      <c r="S33" s="16"/>
      <c r="T33" s="16"/>
      <c r="U33" s="16"/>
      <c r="V33" s="16"/>
      <c r="Y33" s="22"/>
      <c r="AH33" s="10"/>
      <c r="AI33" s="23"/>
      <c r="AJ33" s="23"/>
      <c r="AK33" s="23"/>
    </row>
    <row r="34">
      <c r="F34" s="7"/>
      <c r="G34" s="7"/>
      <c r="H34" s="7"/>
      <c r="I34" s="7"/>
      <c r="J34" s="7"/>
      <c r="K34" s="7"/>
      <c r="L34" s="7"/>
      <c r="M34" s="7"/>
      <c r="N34" s="7"/>
      <c r="O34" s="7"/>
      <c r="P34" s="16"/>
      <c r="Q34" s="16"/>
      <c r="R34" s="16"/>
      <c r="S34" s="16"/>
      <c r="T34" s="16"/>
      <c r="U34" s="16"/>
      <c r="V34" s="16"/>
      <c r="Y34" s="22"/>
      <c r="AH34" s="10"/>
      <c r="AI34" s="23"/>
      <c r="AJ34" s="23"/>
      <c r="AK34" s="23"/>
    </row>
    <row r="35">
      <c r="A35" s="21"/>
      <c r="F35" s="7"/>
      <c r="G35" s="7"/>
      <c r="H35" s="7"/>
      <c r="I35" s="7"/>
      <c r="J35" s="7"/>
      <c r="K35" s="7"/>
      <c r="L35" s="7"/>
      <c r="M35" s="7"/>
      <c r="N35" s="7"/>
      <c r="O35" s="7"/>
      <c r="P35" s="16"/>
      <c r="Q35" s="16"/>
      <c r="R35" s="16"/>
      <c r="S35" s="16"/>
      <c r="T35" s="16"/>
      <c r="U35" s="16"/>
      <c r="V35" s="16"/>
      <c r="Y35" s="22"/>
      <c r="AH35" s="10"/>
      <c r="AI35" s="23"/>
      <c r="AJ35" s="23"/>
      <c r="AK35" s="23"/>
    </row>
    <row r="36">
      <c r="A36" s="5"/>
      <c r="F36" s="7"/>
      <c r="G36" s="7"/>
      <c r="H36" s="7"/>
      <c r="I36" s="7"/>
      <c r="J36" s="7"/>
      <c r="K36" s="7"/>
      <c r="L36" s="7"/>
      <c r="M36" s="7"/>
      <c r="N36" s="7"/>
      <c r="O36" s="7"/>
      <c r="P36" s="16"/>
      <c r="Q36" s="16"/>
      <c r="R36" s="16"/>
      <c r="S36" s="16"/>
      <c r="T36" s="16"/>
      <c r="U36" s="16"/>
      <c r="V36" s="16"/>
      <c r="AH36" s="10"/>
      <c r="AI36" s="23"/>
      <c r="AJ36" s="23"/>
      <c r="AK36" s="23"/>
    </row>
    <row r="37">
      <c r="F37" s="7"/>
      <c r="G37" s="7"/>
      <c r="H37" s="7"/>
      <c r="I37" s="7"/>
      <c r="J37" s="7"/>
      <c r="K37" s="7"/>
      <c r="L37" s="7"/>
      <c r="M37" s="7"/>
      <c r="N37" s="7"/>
      <c r="O37" s="7"/>
      <c r="P37" s="16"/>
      <c r="Q37" s="16"/>
      <c r="R37" s="16"/>
      <c r="S37" s="16"/>
      <c r="T37" s="16"/>
      <c r="U37" s="19"/>
      <c r="V37" s="19"/>
      <c r="W37" s="13"/>
      <c r="X37" s="13"/>
      <c r="AH37" s="10"/>
      <c r="AI37" s="23"/>
      <c r="AJ37" s="23"/>
      <c r="AK37" s="23"/>
    </row>
    <row r="38">
      <c r="F38" s="7"/>
      <c r="G38" s="7"/>
      <c r="H38" s="7"/>
      <c r="I38" s="7"/>
      <c r="J38" s="7"/>
      <c r="K38" s="7"/>
      <c r="L38" s="7"/>
      <c r="M38" s="7"/>
      <c r="N38" s="7"/>
      <c r="O38" s="7"/>
      <c r="P38" s="16"/>
      <c r="Q38" s="16"/>
      <c r="R38" s="16"/>
      <c r="S38" s="16"/>
      <c r="T38" s="16"/>
      <c r="U38" s="16"/>
      <c r="V38" s="16"/>
      <c r="AH38" s="10"/>
      <c r="AI38" s="23"/>
      <c r="AJ38" s="23"/>
      <c r="AK38" s="23"/>
    </row>
    <row r="39">
      <c r="F39" s="7"/>
      <c r="G39" s="7"/>
      <c r="H39" s="7"/>
      <c r="I39" s="7"/>
      <c r="J39" s="7"/>
      <c r="K39" s="7"/>
      <c r="L39" s="7"/>
      <c r="M39" s="7"/>
      <c r="N39" s="7"/>
      <c r="O39" s="7"/>
      <c r="P39" s="16"/>
      <c r="Q39" s="16"/>
      <c r="R39" s="16"/>
      <c r="S39" s="16"/>
      <c r="T39" s="16"/>
      <c r="U39" s="16"/>
      <c r="V39" s="16"/>
      <c r="AH39" s="10"/>
      <c r="AI39" s="23"/>
      <c r="AJ39" s="23"/>
      <c r="AK39" s="23"/>
    </row>
    <row r="40">
      <c r="A40" s="5"/>
      <c r="F40" s="7"/>
      <c r="G40" s="7"/>
      <c r="H40" s="7"/>
      <c r="I40" s="7"/>
      <c r="J40" s="7"/>
      <c r="K40" s="7"/>
      <c r="L40" s="7"/>
      <c r="M40" s="7"/>
      <c r="N40" s="7"/>
      <c r="O40" s="7"/>
      <c r="P40" s="16"/>
      <c r="Q40" s="16"/>
      <c r="R40" s="16"/>
      <c r="S40" s="16"/>
      <c r="T40" s="16"/>
      <c r="U40" s="7"/>
      <c r="V40" s="7"/>
      <c r="W40" s="5"/>
      <c r="X40" s="24"/>
      <c r="AH40" s="10"/>
      <c r="AI40" s="23"/>
      <c r="AJ40" s="23"/>
      <c r="AK40" s="23"/>
    </row>
    <row r="41">
      <c r="A41" s="21"/>
      <c r="F41" s="7"/>
      <c r="G41" s="7"/>
      <c r="H41" s="7"/>
      <c r="I41" s="7"/>
      <c r="J41" s="7"/>
      <c r="K41" s="7"/>
      <c r="L41" s="7"/>
      <c r="M41" s="7"/>
      <c r="N41" s="7"/>
      <c r="O41" s="7"/>
      <c r="P41" s="16"/>
      <c r="Q41" s="16"/>
      <c r="R41" s="16"/>
      <c r="S41" s="16"/>
      <c r="T41" s="16"/>
      <c r="U41" s="16"/>
      <c r="V41" s="16"/>
      <c r="AH41" s="10"/>
      <c r="AI41" s="23"/>
      <c r="AJ41" s="23"/>
      <c r="AK41" s="23"/>
    </row>
    <row r="42">
      <c r="A42" s="5"/>
      <c r="F42" s="7"/>
      <c r="G42" s="7"/>
      <c r="H42" s="7"/>
      <c r="I42" s="7"/>
      <c r="J42" s="7"/>
      <c r="K42" s="7"/>
      <c r="L42" s="7"/>
      <c r="M42" s="7"/>
      <c r="N42" s="7"/>
      <c r="O42" s="7"/>
      <c r="P42" s="16"/>
      <c r="Q42" s="16"/>
      <c r="R42" s="16"/>
      <c r="S42" s="16"/>
      <c r="T42" s="16"/>
      <c r="U42" s="25"/>
      <c r="V42" s="25"/>
      <c r="W42" s="26"/>
      <c r="X42" s="26"/>
      <c r="AH42" s="10"/>
      <c r="AI42" s="23"/>
      <c r="AJ42" s="23"/>
      <c r="AK42" s="23"/>
    </row>
    <row r="43">
      <c r="F43" s="7"/>
      <c r="G43" s="7"/>
      <c r="H43" s="7"/>
      <c r="I43" s="7"/>
      <c r="J43" s="7"/>
      <c r="K43" s="7"/>
      <c r="L43" s="7"/>
      <c r="M43" s="7"/>
      <c r="N43" s="7"/>
      <c r="O43" s="7"/>
      <c r="P43" s="16"/>
      <c r="Q43" s="16"/>
      <c r="R43" s="16"/>
      <c r="S43" s="16"/>
      <c r="T43" s="16"/>
      <c r="U43" s="27"/>
      <c r="V43" s="27"/>
      <c r="W43" s="28"/>
      <c r="X43" s="28"/>
      <c r="AH43" s="10"/>
      <c r="AI43" s="23"/>
      <c r="AJ43" s="23"/>
      <c r="AK43" s="23"/>
    </row>
    <row r="44"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AH44" s="10"/>
      <c r="AI44" s="23"/>
      <c r="AJ44" s="23"/>
      <c r="AK44" s="23"/>
    </row>
    <row r="45"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AH45" s="10"/>
      <c r="AI45" s="23"/>
      <c r="AJ45" s="23"/>
      <c r="AK45" s="23"/>
    </row>
    <row r="46"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AI46" s="23"/>
      <c r="AJ46" s="23"/>
      <c r="AK46" s="23"/>
    </row>
    <row r="47"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AI47" s="23"/>
      <c r="AJ47" s="23"/>
      <c r="AK47" s="23"/>
    </row>
    <row r="48"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AI48" s="23"/>
      <c r="AJ48" s="23"/>
      <c r="AK48" s="23"/>
    </row>
    <row r="49"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AI49" s="23"/>
      <c r="AJ49" s="23"/>
      <c r="AK49" s="23"/>
    </row>
    <row r="50"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AI50" s="23"/>
      <c r="AJ50" s="23"/>
      <c r="AK50" s="23"/>
    </row>
    <row r="51"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AI51" s="23"/>
      <c r="AJ51" s="23"/>
      <c r="AK51" s="23"/>
    </row>
    <row r="52"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AI52" s="23"/>
      <c r="AJ52" s="23"/>
      <c r="AK52" s="23"/>
    </row>
    <row r="53"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AI53" s="23"/>
      <c r="AJ53" s="23"/>
      <c r="AK53" s="23"/>
    </row>
    <row r="54"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AI54" s="23"/>
      <c r="AJ54" s="23"/>
      <c r="AK54" s="23"/>
    </row>
    <row r="55"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AI55" s="23"/>
      <c r="AJ55" s="23"/>
      <c r="AK55" s="23"/>
    </row>
    <row r="56"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AI56" s="23"/>
      <c r="AJ56" s="23"/>
      <c r="AK56" s="23"/>
    </row>
    <row r="57"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AI57" s="23"/>
      <c r="AJ57" s="23"/>
      <c r="AK57" s="23"/>
    </row>
    <row r="58"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AI58" s="23"/>
      <c r="AJ58" s="23"/>
      <c r="AK58" s="23"/>
    </row>
    <row r="59"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AI59" s="23"/>
      <c r="AJ59" s="23"/>
      <c r="AK59" s="23"/>
    </row>
    <row r="60"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AI60" s="23"/>
      <c r="AJ60" s="23"/>
      <c r="AK60" s="23"/>
    </row>
    <row r="61"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AI61" s="23"/>
      <c r="AJ61" s="23"/>
      <c r="AK61" s="23"/>
    </row>
    <row r="62"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AI62" s="23"/>
      <c r="AJ62" s="23"/>
      <c r="AK62" s="23"/>
    </row>
    <row r="63"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AI63" s="23"/>
      <c r="AJ63" s="23"/>
      <c r="AK63" s="23"/>
    </row>
    <row r="64"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AI64" s="23"/>
      <c r="AJ64" s="23"/>
      <c r="AK64" s="23"/>
    </row>
    <row r="65"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AI65" s="23"/>
      <c r="AJ65" s="23"/>
      <c r="AK65" s="23"/>
    </row>
    <row r="66"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AI66" s="23"/>
      <c r="AJ66" s="23"/>
      <c r="AK66" s="23"/>
    </row>
    <row r="67"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AI67" s="23"/>
      <c r="AJ67" s="23"/>
      <c r="AK67" s="23"/>
    </row>
    <row r="68"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AI68" s="23"/>
      <c r="AJ68" s="23"/>
      <c r="AK68" s="23"/>
    </row>
    <row r="69"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AI69" s="23"/>
      <c r="AJ69" s="23"/>
      <c r="AK69" s="23"/>
    </row>
    <row r="70"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AI70" s="23"/>
      <c r="AJ70" s="23"/>
      <c r="AK70" s="23"/>
    </row>
    <row r="71"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AI71" s="23"/>
      <c r="AJ71" s="23"/>
      <c r="AK71" s="23"/>
    </row>
    <row r="72"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AI72" s="23"/>
      <c r="AJ72" s="23"/>
      <c r="AK72" s="23"/>
    </row>
    <row r="73"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AI73" s="23"/>
      <c r="AJ73" s="23"/>
      <c r="AK73" s="23"/>
    </row>
    <row r="74"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AI74" s="23"/>
      <c r="AJ74" s="23"/>
      <c r="AK74" s="23"/>
    </row>
    <row r="75"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AI75" s="23"/>
      <c r="AJ75" s="23"/>
      <c r="AK75" s="23"/>
    </row>
    <row r="76"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AI76" s="23"/>
      <c r="AJ76" s="23"/>
      <c r="AK76" s="23"/>
    </row>
    <row r="77"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AI77" s="23"/>
      <c r="AJ77" s="23"/>
      <c r="AK77" s="23"/>
    </row>
    <row r="78"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AI78" s="23"/>
      <c r="AJ78" s="23"/>
      <c r="AK78" s="23"/>
    </row>
    <row r="79"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AI79" s="23"/>
      <c r="AJ79" s="23"/>
      <c r="AK79" s="23"/>
    </row>
    <row r="80"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AI80" s="23"/>
      <c r="AJ80" s="23"/>
      <c r="AK80" s="23"/>
    </row>
    <row r="81"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AI81" s="23"/>
      <c r="AJ81" s="23"/>
      <c r="AK81" s="23"/>
    </row>
    <row r="82"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AI82" s="23"/>
      <c r="AJ82" s="23"/>
      <c r="AK82" s="23"/>
    </row>
    <row r="83"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AI83" s="23"/>
      <c r="AJ83" s="23"/>
      <c r="AK83" s="23"/>
    </row>
    <row r="84"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AI84" s="23"/>
      <c r="AJ84" s="23"/>
      <c r="AK84" s="23"/>
    </row>
    <row r="85"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AI85" s="23"/>
      <c r="AJ85" s="23"/>
      <c r="AK85" s="23"/>
    </row>
    <row r="86"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AI86" s="23"/>
      <c r="AJ86" s="23"/>
      <c r="AK86" s="23"/>
    </row>
    <row r="87"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AI87" s="23"/>
      <c r="AJ87" s="23"/>
      <c r="AK87" s="23"/>
    </row>
    <row r="88"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AI88" s="23"/>
      <c r="AJ88" s="23"/>
      <c r="AK88" s="23"/>
    </row>
    <row r="89"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AI89" s="23"/>
      <c r="AJ89" s="23"/>
      <c r="AK89" s="23"/>
    </row>
    <row r="90"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AI90" s="23"/>
      <c r="AJ90" s="23"/>
      <c r="AK90" s="23"/>
    </row>
    <row r="91"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AI91" s="23"/>
      <c r="AJ91" s="23"/>
      <c r="AK91" s="23"/>
    </row>
    <row r="92"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AI92" s="23"/>
      <c r="AJ92" s="23"/>
      <c r="AK92" s="23"/>
    </row>
    <row r="93"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AI93" s="23"/>
      <c r="AJ93" s="23"/>
      <c r="AK93" s="23"/>
    </row>
    <row r="94"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AI94" s="23"/>
      <c r="AJ94" s="23"/>
      <c r="AK94" s="23"/>
    </row>
    <row r="95"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AI95" s="23"/>
      <c r="AJ95" s="23"/>
      <c r="AK95" s="23"/>
    </row>
    <row r="96"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AI96" s="23"/>
      <c r="AJ96" s="23"/>
      <c r="AK96" s="23"/>
    </row>
    <row r="97"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AI97" s="23"/>
      <c r="AJ97" s="23"/>
      <c r="AK97" s="23"/>
    </row>
    <row r="98"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AI98" s="23"/>
      <c r="AJ98" s="23"/>
      <c r="AK98" s="23"/>
    </row>
    <row r="99"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AI99" s="23"/>
      <c r="AJ99" s="23"/>
      <c r="AK99" s="23"/>
    </row>
    <row r="100"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AI100" s="23"/>
      <c r="AJ100" s="23"/>
      <c r="AK100" s="23"/>
    </row>
    <row r="101"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AI101" s="23"/>
      <c r="AJ101" s="23"/>
      <c r="AK101" s="23"/>
    </row>
    <row r="102"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AI102" s="23"/>
      <c r="AJ102" s="23"/>
      <c r="AK102" s="23"/>
    </row>
    <row r="103"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AI103" s="23"/>
      <c r="AJ103" s="23"/>
      <c r="AK103" s="23"/>
    </row>
    <row r="104"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AI104" s="23"/>
      <c r="AJ104" s="23"/>
      <c r="AK104" s="23"/>
    </row>
    <row r="105"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AI105" s="23"/>
      <c r="AJ105" s="23"/>
      <c r="AK105" s="23"/>
    </row>
    <row r="106"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AI106" s="23"/>
      <c r="AJ106" s="23"/>
      <c r="AK106" s="23"/>
    </row>
    <row r="107"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AI107" s="23"/>
      <c r="AJ107" s="23"/>
      <c r="AK107" s="23"/>
    </row>
    <row r="108"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AI108" s="23"/>
      <c r="AJ108" s="23"/>
      <c r="AK108" s="23"/>
    </row>
    <row r="109"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AI109" s="23"/>
      <c r="AJ109" s="23"/>
      <c r="AK109" s="23"/>
    </row>
    <row r="110"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AI110" s="23"/>
      <c r="AJ110" s="23"/>
      <c r="AK110" s="23"/>
    </row>
    <row r="111"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AI111" s="23"/>
      <c r="AJ111" s="23"/>
      <c r="AK111" s="23"/>
    </row>
    <row r="112"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AI112" s="23"/>
      <c r="AJ112" s="23"/>
      <c r="AK112" s="23"/>
    </row>
    <row r="113"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AI113" s="23"/>
      <c r="AJ113" s="23"/>
      <c r="AK113" s="23"/>
    </row>
    <row r="114"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AI114" s="23"/>
      <c r="AJ114" s="23"/>
      <c r="AK114" s="23"/>
    </row>
    <row r="115"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AI115" s="23"/>
      <c r="AJ115" s="23"/>
      <c r="AK115" s="23"/>
    </row>
    <row r="116"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AI116" s="23"/>
      <c r="AJ116" s="23"/>
      <c r="AK116" s="23"/>
    </row>
    <row r="117"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AI117" s="23"/>
      <c r="AJ117" s="23"/>
      <c r="AK117" s="23"/>
    </row>
    <row r="118"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AI118" s="23"/>
      <c r="AJ118" s="23"/>
      <c r="AK118" s="23"/>
    </row>
    <row r="119"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AI119" s="23"/>
      <c r="AJ119" s="23"/>
      <c r="AK119" s="23"/>
    </row>
    <row r="120"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AI120" s="23"/>
      <c r="AJ120" s="23"/>
      <c r="AK120" s="23"/>
    </row>
    <row r="121"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AI121" s="23"/>
      <c r="AJ121" s="23"/>
      <c r="AK121" s="23"/>
    </row>
    <row r="122"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AI122" s="23"/>
      <c r="AJ122" s="23"/>
      <c r="AK122" s="23"/>
    </row>
    <row r="123"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AI123" s="23"/>
      <c r="AJ123" s="23"/>
      <c r="AK123" s="23"/>
    </row>
    <row r="124"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AI124" s="23"/>
      <c r="AJ124" s="23"/>
      <c r="AK124" s="23"/>
    </row>
    <row r="125"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AI125" s="23"/>
      <c r="AJ125" s="23"/>
      <c r="AK125" s="23"/>
    </row>
    <row r="126"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AI126" s="23"/>
      <c r="AJ126" s="23"/>
      <c r="AK126" s="23"/>
    </row>
    <row r="127"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AI127" s="23"/>
      <c r="AJ127" s="23"/>
      <c r="AK127" s="23"/>
    </row>
    <row r="128"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AI128" s="23"/>
      <c r="AJ128" s="23"/>
      <c r="AK128" s="23"/>
    </row>
    <row r="129"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AI129" s="23"/>
      <c r="AJ129" s="23"/>
      <c r="AK129" s="23"/>
    </row>
    <row r="130"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AI130" s="23"/>
      <c r="AJ130" s="23"/>
      <c r="AK130" s="23"/>
    </row>
    <row r="131"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AI131" s="23"/>
      <c r="AJ131" s="23"/>
      <c r="AK131" s="23"/>
    </row>
    <row r="132"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AI132" s="23"/>
      <c r="AJ132" s="23"/>
      <c r="AK132" s="23"/>
    </row>
    <row r="133"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AI133" s="23"/>
      <c r="AJ133" s="23"/>
      <c r="AK133" s="23"/>
    </row>
    <row r="134"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AI134" s="23"/>
      <c r="AJ134" s="23"/>
      <c r="AK134" s="23"/>
    </row>
    <row r="135"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AI135" s="23"/>
      <c r="AJ135" s="23"/>
      <c r="AK135" s="23"/>
    </row>
    <row r="136"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AI136" s="23"/>
      <c r="AJ136" s="23"/>
      <c r="AK136" s="23"/>
    </row>
    <row r="137"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AI137" s="23"/>
      <c r="AJ137" s="23"/>
      <c r="AK137" s="23"/>
    </row>
    <row r="138"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AI138" s="23"/>
      <c r="AJ138" s="23"/>
      <c r="AK138" s="23"/>
    </row>
    <row r="139"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AI139" s="23"/>
      <c r="AJ139" s="23"/>
      <c r="AK139" s="23"/>
    </row>
    <row r="140"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AI140" s="23"/>
      <c r="AJ140" s="23"/>
      <c r="AK140" s="23"/>
    </row>
    <row r="141"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AI141" s="23"/>
      <c r="AJ141" s="23"/>
      <c r="AK141" s="23"/>
    </row>
    <row r="142"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AI142" s="23"/>
      <c r="AJ142" s="23"/>
      <c r="AK142" s="23"/>
    </row>
    <row r="143"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AI143" s="23"/>
      <c r="AJ143" s="23"/>
      <c r="AK143" s="23"/>
    </row>
    <row r="144"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AI144" s="23"/>
      <c r="AJ144" s="23"/>
      <c r="AK144" s="23"/>
    </row>
    <row r="145"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AI145" s="23"/>
      <c r="AJ145" s="23"/>
      <c r="AK145" s="23"/>
    </row>
    <row r="146"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AI146" s="23"/>
      <c r="AJ146" s="23"/>
      <c r="AK146" s="23"/>
    </row>
    <row r="147"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AI147" s="23"/>
      <c r="AJ147" s="23"/>
      <c r="AK147" s="23"/>
    </row>
    <row r="148"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AI148" s="23"/>
      <c r="AJ148" s="23"/>
      <c r="AK148" s="23"/>
    </row>
    <row r="149"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AI149" s="23"/>
      <c r="AJ149" s="23"/>
      <c r="AK149" s="23"/>
    </row>
    <row r="150"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AI150" s="23"/>
      <c r="AJ150" s="23"/>
      <c r="AK150" s="23"/>
    </row>
    <row r="151"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AI151" s="23"/>
      <c r="AJ151" s="23"/>
      <c r="AK151" s="23"/>
    </row>
    <row r="152"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AI152" s="23"/>
      <c r="AJ152" s="23"/>
      <c r="AK152" s="23"/>
    </row>
    <row r="153"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AI153" s="23"/>
      <c r="AJ153" s="23"/>
      <c r="AK153" s="23"/>
    </row>
    <row r="154"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AI154" s="23"/>
      <c r="AJ154" s="23"/>
      <c r="AK154" s="23"/>
    </row>
    <row r="155"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AI155" s="23"/>
      <c r="AJ155" s="23"/>
      <c r="AK155" s="23"/>
    </row>
    <row r="156"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AI156" s="23"/>
      <c r="AJ156" s="23"/>
      <c r="AK156" s="23"/>
    </row>
    <row r="157"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AI157" s="23"/>
      <c r="AJ157" s="23"/>
      <c r="AK157" s="23"/>
    </row>
    <row r="158"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AI158" s="23"/>
      <c r="AJ158" s="23"/>
      <c r="AK158" s="23"/>
    </row>
    <row r="159"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AI159" s="23"/>
      <c r="AJ159" s="23"/>
      <c r="AK159" s="23"/>
    </row>
    <row r="160"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AI160" s="23"/>
      <c r="AJ160" s="23"/>
      <c r="AK160" s="23"/>
    </row>
    <row r="161"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AI161" s="23"/>
      <c r="AJ161" s="23"/>
      <c r="AK161" s="23"/>
    </row>
    <row r="162"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AI162" s="23"/>
      <c r="AJ162" s="23"/>
      <c r="AK162" s="23"/>
    </row>
    <row r="163"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AI163" s="23"/>
      <c r="AJ163" s="23"/>
      <c r="AK163" s="23"/>
    </row>
    <row r="164"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AI164" s="23"/>
      <c r="AJ164" s="23"/>
      <c r="AK164" s="23"/>
    </row>
    <row r="165"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AI165" s="23"/>
      <c r="AJ165" s="23"/>
      <c r="AK165" s="23"/>
    </row>
    <row r="166"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AI166" s="23"/>
      <c r="AJ166" s="23"/>
      <c r="AK166" s="23"/>
    </row>
    <row r="167"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AI167" s="23"/>
      <c r="AJ167" s="23"/>
      <c r="AK167" s="23"/>
    </row>
    <row r="168"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AI168" s="23"/>
      <c r="AJ168" s="23"/>
      <c r="AK168" s="23"/>
    </row>
    <row r="169"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AI169" s="23"/>
      <c r="AJ169" s="23"/>
      <c r="AK169" s="23"/>
    </row>
    <row r="170"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AI170" s="23"/>
      <c r="AJ170" s="23"/>
      <c r="AK170" s="23"/>
    </row>
    <row r="171"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AI171" s="23"/>
      <c r="AJ171" s="23"/>
      <c r="AK171" s="23"/>
    </row>
    <row r="172"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AI172" s="23"/>
      <c r="AJ172" s="23"/>
      <c r="AK172" s="23"/>
    </row>
    <row r="173"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AI173" s="23"/>
      <c r="AJ173" s="23"/>
      <c r="AK173" s="23"/>
    </row>
    <row r="174"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AI174" s="23"/>
      <c r="AJ174" s="23"/>
      <c r="AK174" s="23"/>
    </row>
    <row r="175"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AI175" s="23"/>
      <c r="AJ175" s="23"/>
      <c r="AK175" s="23"/>
    </row>
    <row r="176"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AI176" s="23"/>
      <c r="AJ176" s="23"/>
      <c r="AK176" s="23"/>
    </row>
    <row r="177"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AI177" s="23"/>
      <c r="AJ177" s="23"/>
      <c r="AK177" s="23"/>
    </row>
    <row r="178"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AI178" s="23"/>
      <c r="AJ178" s="23"/>
      <c r="AK178" s="23"/>
    </row>
    <row r="179"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AI179" s="23"/>
      <c r="AJ179" s="23"/>
      <c r="AK179" s="23"/>
    </row>
    <row r="180"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AI180" s="23"/>
      <c r="AJ180" s="23"/>
      <c r="AK180" s="23"/>
    </row>
    <row r="181"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AI181" s="23"/>
      <c r="AJ181" s="23"/>
      <c r="AK181" s="23"/>
    </row>
    <row r="182"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AI182" s="23"/>
      <c r="AJ182" s="23"/>
      <c r="AK182" s="23"/>
    </row>
    <row r="183"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AI183" s="23"/>
      <c r="AJ183" s="23"/>
      <c r="AK183" s="23"/>
    </row>
    <row r="184"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AI184" s="23"/>
      <c r="AJ184" s="23"/>
      <c r="AK184" s="23"/>
    </row>
    <row r="185"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AI185" s="23"/>
      <c r="AJ185" s="23"/>
      <c r="AK185" s="23"/>
    </row>
    <row r="186"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AI186" s="23"/>
      <c r="AJ186" s="23"/>
      <c r="AK186" s="23"/>
    </row>
    <row r="187"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AI187" s="23"/>
      <c r="AJ187" s="23"/>
      <c r="AK187" s="23"/>
    </row>
    <row r="188"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AI188" s="23"/>
      <c r="AJ188" s="23"/>
      <c r="AK188" s="23"/>
    </row>
    <row r="189"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AI189" s="23"/>
      <c r="AJ189" s="23"/>
      <c r="AK189" s="23"/>
    </row>
    <row r="190"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AI190" s="23"/>
      <c r="AJ190" s="23"/>
      <c r="AK190" s="23"/>
    </row>
    <row r="191"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AI191" s="23"/>
      <c r="AJ191" s="23"/>
      <c r="AK191" s="23"/>
    </row>
    <row r="192"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AI192" s="23"/>
      <c r="AJ192" s="23"/>
      <c r="AK192" s="23"/>
    </row>
    <row r="193"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AI193" s="23"/>
      <c r="AJ193" s="23"/>
      <c r="AK193" s="23"/>
    </row>
    <row r="194"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AI194" s="23"/>
      <c r="AJ194" s="23"/>
      <c r="AK194" s="23"/>
    </row>
    <row r="195"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AI195" s="23"/>
      <c r="AJ195" s="23"/>
      <c r="AK195" s="23"/>
    </row>
    <row r="196"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AI196" s="23"/>
      <c r="AJ196" s="23"/>
      <c r="AK196" s="23"/>
    </row>
    <row r="197"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AI197" s="23"/>
      <c r="AJ197" s="23"/>
      <c r="AK197" s="23"/>
    </row>
    <row r="198"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AI198" s="23"/>
      <c r="AJ198" s="23"/>
      <c r="AK198" s="23"/>
    </row>
    <row r="199"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AI199" s="23"/>
      <c r="AJ199" s="23"/>
      <c r="AK199" s="23"/>
    </row>
    <row r="200"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AI200" s="23"/>
      <c r="AJ200" s="23"/>
      <c r="AK200" s="23"/>
    </row>
    <row r="201"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AI201" s="23"/>
      <c r="AJ201" s="23"/>
      <c r="AK201" s="23"/>
    </row>
    <row r="202"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AI202" s="23"/>
      <c r="AJ202" s="23"/>
      <c r="AK202" s="23"/>
    </row>
    <row r="203"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AI203" s="23"/>
      <c r="AJ203" s="23"/>
      <c r="AK203" s="23"/>
    </row>
    <row r="204"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AI204" s="23"/>
      <c r="AJ204" s="23"/>
      <c r="AK204" s="23"/>
    </row>
    <row r="205"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AI205" s="23"/>
      <c r="AJ205" s="23"/>
      <c r="AK205" s="23"/>
    </row>
    <row r="206"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AI206" s="23"/>
      <c r="AJ206" s="23"/>
      <c r="AK206" s="23"/>
    </row>
    <row r="207"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AI207" s="23"/>
      <c r="AJ207" s="23"/>
      <c r="AK207" s="23"/>
    </row>
    <row r="208"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AI208" s="23"/>
      <c r="AJ208" s="23"/>
      <c r="AK208" s="23"/>
    </row>
    <row r="209"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AI209" s="23"/>
      <c r="AJ209" s="23"/>
      <c r="AK209" s="23"/>
    </row>
    <row r="210"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AI210" s="23"/>
      <c r="AJ210" s="23"/>
      <c r="AK210" s="23"/>
    </row>
    <row r="211"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AI211" s="23"/>
      <c r="AJ211" s="23"/>
      <c r="AK211" s="23"/>
    </row>
    <row r="212"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AI212" s="23"/>
      <c r="AJ212" s="23"/>
      <c r="AK212" s="23"/>
    </row>
    <row r="213"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AI213" s="23"/>
      <c r="AJ213" s="23"/>
      <c r="AK213" s="23"/>
    </row>
    <row r="214"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AI214" s="23"/>
      <c r="AJ214" s="23"/>
      <c r="AK214" s="23"/>
    </row>
    <row r="215"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AI215" s="23"/>
      <c r="AJ215" s="23"/>
      <c r="AK215" s="23"/>
    </row>
    <row r="216"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AI216" s="23"/>
      <c r="AJ216" s="23"/>
      <c r="AK216" s="23"/>
    </row>
    <row r="217"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AI217" s="23"/>
      <c r="AJ217" s="23"/>
      <c r="AK217" s="23"/>
    </row>
    <row r="218"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AI218" s="23"/>
      <c r="AJ218" s="23"/>
      <c r="AK218" s="23"/>
    </row>
    <row r="219"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AI219" s="23"/>
      <c r="AJ219" s="23"/>
      <c r="AK219" s="23"/>
    </row>
    <row r="220"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AI220" s="23"/>
      <c r="AJ220" s="23"/>
      <c r="AK220" s="23"/>
    </row>
    <row r="221"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AI221" s="23"/>
      <c r="AJ221" s="23"/>
      <c r="AK221" s="23"/>
    </row>
    <row r="222"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AI222" s="23"/>
      <c r="AJ222" s="23"/>
      <c r="AK222" s="23"/>
    </row>
    <row r="223"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AI223" s="23"/>
      <c r="AJ223" s="23"/>
      <c r="AK223" s="23"/>
    </row>
    <row r="224"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AI224" s="23"/>
      <c r="AJ224" s="23"/>
      <c r="AK224" s="23"/>
    </row>
    <row r="225"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AI225" s="23"/>
      <c r="AJ225" s="23"/>
      <c r="AK225" s="23"/>
    </row>
    <row r="226"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AI226" s="23"/>
      <c r="AJ226" s="23"/>
      <c r="AK226" s="23"/>
    </row>
    <row r="227"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AI227" s="23"/>
      <c r="AJ227" s="23"/>
      <c r="AK227" s="23"/>
    </row>
    <row r="228"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AI228" s="23"/>
      <c r="AJ228" s="23"/>
      <c r="AK228" s="23"/>
    </row>
    <row r="229"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AI229" s="23"/>
      <c r="AJ229" s="23"/>
      <c r="AK229" s="23"/>
    </row>
    <row r="230"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AI230" s="23"/>
      <c r="AJ230" s="23"/>
      <c r="AK230" s="23"/>
    </row>
    <row r="231"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AI231" s="23"/>
      <c r="AJ231" s="23"/>
      <c r="AK231" s="23"/>
    </row>
    <row r="232"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AI232" s="23"/>
      <c r="AJ232" s="23"/>
      <c r="AK232" s="23"/>
    </row>
    <row r="233"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AI233" s="23"/>
      <c r="AJ233" s="23"/>
      <c r="AK233" s="23"/>
    </row>
    <row r="234"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AI234" s="23"/>
      <c r="AJ234" s="23"/>
      <c r="AK234" s="23"/>
    </row>
    <row r="235"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AI235" s="23"/>
      <c r="AJ235" s="23"/>
      <c r="AK235" s="23"/>
    </row>
    <row r="236"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AI236" s="23"/>
      <c r="AJ236" s="23"/>
      <c r="AK236" s="23"/>
    </row>
    <row r="237"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AI237" s="23"/>
      <c r="AJ237" s="23"/>
      <c r="AK237" s="23"/>
    </row>
    <row r="238"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AI238" s="23"/>
      <c r="AJ238" s="23"/>
      <c r="AK238" s="23"/>
    </row>
    <row r="239"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AI239" s="23"/>
      <c r="AJ239" s="23"/>
      <c r="AK239" s="23"/>
    </row>
    <row r="240"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AI240" s="23"/>
      <c r="AJ240" s="23"/>
      <c r="AK240" s="23"/>
    </row>
    <row r="241"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AI241" s="23"/>
      <c r="AJ241" s="23"/>
      <c r="AK241" s="23"/>
    </row>
    <row r="242"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AI242" s="23"/>
      <c r="AJ242" s="23"/>
      <c r="AK242" s="23"/>
    </row>
    <row r="243"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AI243" s="23"/>
      <c r="AJ243" s="23"/>
      <c r="AK243" s="23"/>
    </row>
    <row r="244"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AI244" s="23"/>
      <c r="AJ244" s="23"/>
      <c r="AK244" s="23"/>
    </row>
    <row r="245"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AI245" s="23"/>
      <c r="AJ245" s="23"/>
      <c r="AK245" s="23"/>
    </row>
    <row r="246"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AI246" s="23"/>
      <c r="AJ246" s="23"/>
      <c r="AK246" s="23"/>
    </row>
    <row r="247"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AI247" s="23"/>
      <c r="AJ247" s="23"/>
      <c r="AK247" s="23"/>
    </row>
    <row r="248"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AI248" s="23"/>
      <c r="AJ248" s="23"/>
      <c r="AK248" s="23"/>
    </row>
    <row r="249"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AI249" s="23"/>
      <c r="AJ249" s="23"/>
      <c r="AK249" s="23"/>
    </row>
    <row r="250"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AI250" s="23"/>
      <c r="AJ250" s="23"/>
      <c r="AK250" s="23"/>
    </row>
    <row r="251"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AI251" s="23"/>
      <c r="AJ251" s="23"/>
      <c r="AK251" s="23"/>
    </row>
    <row r="252"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AI252" s="23"/>
      <c r="AJ252" s="23"/>
      <c r="AK252" s="23"/>
    </row>
    <row r="253"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AI253" s="23"/>
      <c r="AJ253" s="23"/>
      <c r="AK253" s="23"/>
    </row>
    <row r="254"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AI254" s="23"/>
      <c r="AJ254" s="23"/>
      <c r="AK254" s="23"/>
    </row>
    <row r="255"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AI255" s="23"/>
      <c r="AJ255" s="23"/>
      <c r="AK255" s="23"/>
    </row>
    <row r="256"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AI256" s="23"/>
      <c r="AJ256" s="23"/>
      <c r="AK256" s="23"/>
    </row>
    <row r="257"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AI257" s="23"/>
      <c r="AJ257" s="23"/>
      <c r="AK257" s="23"/>
    </row>
    <row r="258"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AI258" s="23"/>
      <c r="AJ258" s="23"/>
      <c r="AK258" s="23"/>
    </row>
    <row r="259"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AI259" s="23"/>
      <c r="AJ259" s="23"/>
      <c r="AK259" s="23"/>
    </row>
    <row r="260"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AI260" s="23"/>
      <c r="AJ260" s="23"/>
      <c r="AK260" s="23"/>
    </row>
    <row r="261"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AI261" s="23"/>
      <c r="AJ261" s="23"/>
      <c r="AK261" s="23"/>
    </row>
    <row r="262"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AI262" s="23"/>
      <c r="AJ262" s="23"/>
      <c r="AK262" s="23"/>
    </row>
    <row r="263"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AI263" s="23"/>
      <c r="AJ263" s="23"/>
      <c r="AK263" s="23"/>
    </row>
    <row r="264"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AI264" s="23"/>
      <c r="AJ264" s="23"/>
      <c r="AK264" s="23"/>
    </row>
    <row r="265"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AI265" s="23"/>
      <c r="AJ265" s="23"/>
      <c r="AK265" s="23"/>
    </row>
    <row r="266"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AI266" s="23"/>
      <c r="AJ266" s="23"/>
      <c r="AK266" s="23"/>
    </row>
    <row r="267"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AI267" s="23"/>
      <c r="AJ267" s="23"/>
      <c r="AK267" s="23"/>
    </row>
    <row r="268"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AI268" s="23"/>
      <c r="AJ268" s="23"/>
      <c r="AK268" s="23"/>
    </row>
    <row r="269"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AI269" s="23"/>
      <c r="AJ269" s="23"/>
      <c r="AK269" s="23"/>
    </row>
    <row r="270"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AI270" s="23"/>
      <c r="AJ270" s="23"/>
      <c r="AK270" s="23"/>
    </row>
    <row r="271"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AI271" s="23"/>
      <c r="AJ271" s="23"/>
      <c r="AK271" s="23"/>
    </row>
    <row r="272"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AI272" s="23"/>
      <c r="AJ272" s="23"/>
      <c r="AK272" s="23"/>
    </row>
    <row r="273"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AI273" s="23"/>
      <c r="AJ273" s="23"/>
      <c r="AK273" s="23"/>
    </row>
    <row r="274"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AI274" s="23"/>
      <c r="AJ274" s="23"/>
      <c r="AK274" s="23"/>
    </row>
    <row r="275"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AI275" s="23"/>
      <c r="AJ275" s="23"/>
      <c r="AK275" s="23"/>
    </row>
    <row r="276"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AI276" s="23"/>
      <c r="AJ276" s="23"/>
      <c r="AK276" s="23"/>
    </row>
    <row r="277"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AI277" s="23"/>
      <c r="AJ277" s="23"/>
      <c r="AK277" s="23"/>
    </row>
    <row r="278"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AI278" s="23"/>
      <c r="AJ278" s="23"/>
      <c r="AK278" s="23"/>
    </row>
    <row r="279"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AI279" s="23"/>
      <c r="AJ279" s="23"/>
      <c r="AK279" s="23"/>
    </row>
    <row r="280"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AI280" s="23"/>
      <c r="AJ280" s="23"/>
      <c r="AK280" s="23"/>
    </row>
    <row r="281"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AI281" s="23"/>
      <c r="AJ281" s="23"/>
      <c r="AK281" s="23"/>
    </row>
    <row r="282"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AI282" s="23"/>
      <c r="AJ282" s="23"/>
      <c r="AK282" s="23"/>
    </row>
    <row r="283"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AI283" s="23"/>
      <c r="AJ283" s="23"/>
      <c r="AK283" s="23"/>
    </row>
    <row r="284"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AI284" s="23"/>
      <c r="AJ284" s="23"/>
      <c r="AK284" s="23"/>
    </row>
    <row r="285"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AI285" s="23"/>
      <c r="AJ285" s="23"/>
      <c r="AK285" s="23"/>
    </row>
    <row r="286"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AI286" s="23"/>
      <c r="AJ286" s="23"/>
      <c r="AK286" s="23"/>
    </row>
    <row r="287"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AI287" s="23"/>
      <c r="AJ287" s="23"/>
      <c r="AK287" s="23"/>
    </row>
    <row r="288"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AI288" s="23"/>
      <c r="AJ288" s="23"/>
      <c r="AK288" s="23"/>
    </row>
    <row r="289"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AI289" s="23"/>
      <c r="AJ289" s="23"/>
      <c r="AK289" s="23"/>
    </row>
    <row r="290"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AI290" s="23"/>
      <c r="AJ290" s="23"/>
      <c r="AK290" s="23"/>
    </row>
    <row r="291"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AI291" s="23"/>
      <c r="AJ291" s="23"/>
      <c r="AK291" s="23"/>
    </row>
    <row r="292"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AI292" s="23"/>
      <c r="AJ292" s="23"/>
      <c r="AK292" s="23"/>
    </row>
    <row r="293"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AI293" s="23"/>
      <c r="AJ293" s="23"/>
      <c r="AK293" s="23"/>
    </row>
    <row r="294"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AI294" s="23"/>
      <c r="AJ294" s="23"/>
      <c r="AK294" s="23"/>
    </row>
    <row r="295"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AI295" s="23"/>
      <c r="AJ295" s="23"/>
      <c r="AK295" s="23"/>
    </row>
    <row r="296"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AI296" s="23"/>
      <c r="AJ296" s="23"/>
      <c r="AK296" s="23"/>
    </row>
    <row r="297"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AI297" s="23"/>
      <c r="AJ297" s="23"/>
      <c r="AK297" s="23"/>
    </row>
    <row r="298"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AI298" s="23"/>
      <c r="AJ298" s="23"/>
      <c r="AK298" s="23"/>
    </row>
    <row r="299"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AI299" s="23"/>
      <c r="AJ299" s="23"/>
      <c r="AK299" s="23"/>
    </row>
    <row r="300"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AI300" s="23"/>
      <c r="AJ300" s="23"/>
      <c r="AK300" s="23"/>
    </row>
    <row r="301"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AI301" s="23"/>
      <c r="AJ301" s="23"/>
      <c r="AK301" s="23"/>
    </row>
    <row r="302"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AI302" s="23"/>
      <c r="AJ302" s="23"/>
      <c r="AK302" s="23"/>
    </row>
    <row r="303"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AI303" s="23"/>
      <c r="AJ303" s="23"/>
      <c r="AK303" s="23"/>
    </row>
    <row r="304"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AI304" s="23"/>
      <c r="AJ304" s="23"/>
      <c r="AK304" s="23"/>
    </row>
    <row r="305"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AI305" s="23"/>
      <c r="AJ305" s="23"/>
      <c r="AK305" s="23"/>
    </row>
    <row r="306"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AI306" s="23"/>
      <c r="AJ306" s="23"/>
      <c r="AK306" s="23"/>
    </row>
    <row r="307"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AI307" s="23"/>
      <c r="AJ307" s="23"/>
      <c r="AK307" s="23"/>
    </row>
    <row r="308"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AI308" s="23"/>
      <c r="AJ308" s="23"/>
      <c r="AK308" s="23"/>
    </row>
    <row r="309"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AI309" s="23"/>
      <c r="AJ309" s="23"/>
      <c r="AK309" s="23"/>
    </row>
    <row r="310"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AI310" s="23"/>
      <c r="AJ310" s="23"/>
      <c r="AK310" s="23"/>
    </row>
    <row r="311"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AI311" s="23"/>
      <c r="AJ311" s="23"/>
      <c r="AK311" s="23"/>
    </row>
    <row r="312"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AI312" s="23"/>
      <c r="AJ312" s="23"/>
      <c r="AK312" s="23"/>
    </row>
    <row r="313"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AI313" s="23"/>
      <c r="AJ313" s="23"/>
      <c r="AK313" s="23"/>
    </row>
    <row r="314"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AI314" s="23"/>
      <c r="AJ314" s="23"/>
      <c r="AK314" s="23"/>
    </row>
    <row r="315"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AI315" s="23"/>
      <c r="AJ315" s="23"/>
      <c r="AK315" s="23"/>
    </row>
    <row r="316"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AI316" s="23"/>
      <c r="AJ316" s="23"/>
      <c r="AK316" s="23"/>
    </row>
    <row r="317"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AI317" s="23"/>
      <c r="AJ317" s="23"/>
      <c r="AK317" s="23"/>
    </row>
    <row r="318"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AI318" s="23"/>
      <c r="AJ318" s="23"/>
      <c r="AK318" s="23"/>
    </row>
    <row r="319"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AI319" s="23"/>
      <c r="AJ319" s="23"/>
      <c r="AK319" s="23"/>
    </row>
    <row r="320"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AI320" s="23"/>
      <c r="AJ320" s="23"/>
      <c r="AK320" s="23"/>
    </row>
    <row r="321"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AI321" s="23"/>
      <c r="AJ321" s="23"/>
      <c r="AK321" s="23"/>
    </row>
    <row r="322"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AI322" s="23"/>
      <c r="AJ322" s="23"/>
      <c r="AK322" s="23"/>
    </row>
    <row r="323"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AI323" s="23"/>
      <c r="AJ323" s="23"/>
      <c r="AK323" s="23"/>
    </row>
    <row r="324"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AI324" s="23"/>
      <c r="AJ324" s="23"/>
      <c r="AK324" s="23"/>
    </row>
    <row r="325"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AI325" s="23"/>
      <c r="AJ325" s="23"/>
      <c r="AK325" s="23"/>
    </row>
    <row r="326"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AI326" s="23"/>
      <c r="AJ326" s="23"/>
      <c r="AK326" s="23"/>
    </row>
    <row r="327"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AI327" s="23"/>
      <c r="AJ327" s="23"/>
      <c r="AK327" s="23"/>
    </row>
    <row r="328"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AI328" s="23"/>
      <c r="AJ328" s="23"/>
      <c r="AK328" s="23"/>
    </row>
    <row r="329"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AI329" s="23"/>
      <c r="AJ329" s="23"/>
      <c r="AK329" s="23"/>
    </row>
    <row r="330"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AI330" s="23"/>
      <c r="AJ330" s="23"/>
      <c r="AK330" s="23"/>
    </row>
    <row r="331"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AI331" s="23"/>
      <c r="AJ331" s="23"/>
      <c r="AK331" s="23"/>
    </row>
    <row r="332"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AI332" s="23"/>
      <c r="AJ332" s="23"/>
      <c r="AK332" s="23"/>
    </row>
    <row r="333"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AI333" s="23"/>
      <c r="AJ333" s="23"/>
      <c r="AK333" s="23"/>
    </row>
    <row r="334"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AI334" s="23"/>
      <c r="AJ334" s="23"/>
      <c r="AK334" s="23"/>
    </row>
    <row r="335"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AI335" s="23"/>
      <c r="AJ335" s="23"/>
      <c r="AK335" s="23"/>
    </row>
    <row r="336"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AI336" s="23"/>
      <c r="AJ336" s="23"/>
      <c r="AK336" s="23"/>
    </row>
    <row r="337"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AI337" s="23"/>
      <c r="AJ337" s="23"/>
      <c r="AK337" s="23"/>
    </row>
    <row r="338"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AI338" s="23"/>
      <c r="AJ338" s="23"/>
      <c r="AK338" s="23"/>
    </row>
    <row r="339"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AI339" s="23"/>
      <c r="AJ339" s="23"/>
      <c r="AK339" s="23"/>
    </row>
    <row r="340"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AI340" s="23"/>
      <c r="AJ340" s="23"/>
      <c r="AK340" s="23"/>
    </row>
    <row r="341"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AI341" s="23"/>
      <c r="AJ341" s="23"/>
      <c r="AK341" s="23"/>
    </row>
    <row r="342"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AI342" s="23"/>
      <c r="AJ342" s="23"/>
      <c r="AK342" s="23"/>
    </row>
    <row r="343"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AI343" s="23"/>
      <c r="AJ343" s="23"/>
      <c r="AK343" s="23"/>
    </row>
    <row r="344"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AI344" s="23"/>
      <c r="AJ344" s="23"/>
      <c r="AK344" s="23"/>
    </row>
    <row r="345"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AI345" s="23"/>
      <c r="AJ345" s="23"/>
      <c r="AK345" s="23"/>
    </row>
    <row r="346"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AI346" s="23"/>
      <c r="AJ346" s="23"/>
      <c r="AK346" s="23"/>
    </row>
    <row r="347"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AI347" s="23"/>
      <c r="AJ347" s="23"/>
      <c r="AK347" s="23"/>
    </row>
    <row r="348"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AI348" s="23"/>
      <c r="AJ348" s="23"/>
      <c r="AK348" s="23"/>
    </row>
    <row r="349"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AI349" s="23"/>
      <c r="AJ349" s="23"/>
      <c r="AK349" s="23"/>
    </row>
    <row r="350"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AI350" s="23"/>
      <c r="AJ350" s="23"/>
      <c r="AK350" s="23"/>
    </row>
    <row r="351"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AI351" s="23"/>
      <c r="AJ351" s="23"/>
      <c r="AK351" s="23"/>
    </row>
    <row r="352"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AI352" s="23"/>
      <c r="AJ352" s="23"/>
      <c r="AK352" s="23"/>
    </row>
    <row r="353"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AI353" s="23"/>
      <c r="AJ353" s="23"/>
      <c r="AK353" s="23"/>
    </row>
    <row r="354"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AI354" s="23"/>
      <c r="AJ354" s="23"/>
      <c r="AK354" s="23"/>
    </row>
    <row r="355"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AI355" s="23"/>
      <c r="AJ355" s="23"/>
      <c r="AK355" s="23"/>
    </row>
    <row r="356"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AI356" s="23"/>
      <c r="AJ356" s="23"/>
      <c r="AK356" s="23"/>
    </row>
    <row r="357"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AI357" s="23"/>
      <c r="AJ357" s="23"/>
      <c r="AK357" s="23"/>
    </row>
    <row r="358"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AI358" s="23"/>
      <c r="AJ358" s="23"/>
      <c r="AK358" s="23"/>
    </row>
    <row r="359"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AI359" s="23"/>
      <c r="AJ359" s="23"/>
      <c r="AK359" s="23"/>
    </row>
    <row r="360"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AI360" s="23"/>
      <c r="AJ360" s="23"/>
      <c r="AK360" s="23"/>
    </row>
    <row r="361"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AI361" s="23"/>
      <c r="AJ361" s="23"/>
      <c r="AK361" s="23"/>
    </row>
    <row r="362"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AI362" s="23"/>
      <c r="AJ362" s="23"/>
      <c r="AK362" s="23"/>
    </row>
    <row r="363"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AI363" s="23"/>
      <c r="AJ363" s="23"/>
      <c r="AK363" s="23"/>
    </row>
    <row r="364"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AI364" s="23"/>
      <c r="AJ364" s="23"/>
      <c r="AK364" s="23"/>
    </row>
    <row r="365"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AI365" s="23"/>
      <c r="AJ365" s="23"/>
      <c r="AK365" s="23"/>
    </row>
    <row r="366"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AI366" s="23"/>
      <c r="AJ366" s="23"/>
      <c r="AK366" s="23"/>
    </row>
    <row r="367"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AI367" s="23"/>
      <c r="AJ367" s="23"/>
      <c r="AK367" s="23"/>
    </row>
    <row r="368"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AI368" s="23"/>
      <c r="AJ368" s="23"/>
      <c r="AK368" s="23"/>
    </row>
    <row r="369"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AI369" s="23"/>
      <c r="AJ369" s="23"/>
      <c r="AK369" s="23"/>
    </row>
    <row r="370"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AI370" s="23"/>
      <c r="AJ370" s="23"/>
      <c r="AK370" s="23"/>
    </row>
    <row r="371"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AI371" s="23"/>
      <c r="AJ371" s="23"/>
      <c r="AK371" s="23"/>
    </row>
    <row r="372"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AI372" s="23"/>
      <c r="AJ372" s="23"/>
      <c r="AK372" s="23"/>
    </row>
    <row r="373"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AI373" s="23"/>
      <c r="AJ373" s="23"/>
      <c r="AK373" s="23"/>
    </row>
    <row r="374"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AI374" s="23"/>
      <c r="AJ374" s="23"/>
      <c r="AK374" s="23"/>
    </row>
    <row r="375"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AI375" s="23"/>
      <c r="AJ375" s="23"/>
      <c r="AK375" s="23"/>
    </row>
    <row r="376"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AI376" s="23"/>
      <c r="AJ376" s="23"/>
      <c r="AK376" s="23"/>
    </row>
    <row r="377"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AI377" s="23"/>
      <c r="AJ377" s="23"/>
      <c r="AK377" s="23"/>
    </row>
    <row r="378"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AI378" s="23"/>
      <c r="AJ378" s="23"/>
      <c r="AK378" s="23"/>
    </row>
    <row r="379"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AI379" s="23"/>
      <c r="AJ379" s="23"/>
      <c r="AK379" s="23"/>
    </row>
    <row r="380"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AI380" s="23"/>
      <c r="AJ380" s="23"/>
      <c r="AK380" s="23"/>
    </row>
    <row r="381"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AI381" s="23"/>
      <c r="AJ381" s="23"/>
      <c r="AK381" s="23"/>
    </row>
    <row r="382"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AI382" s="23"/>
      <c r="AJ382" s="23"/>
      <c r="AK382" s="23"/>
    </row>
    <row r="383"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AI383" s="23"/>
      <c r="AJ383" s="23"/>
      <c r="AK383" s="23"/>
    </row>
    <row r="384"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AI384" s="23"/>
      <c r="AJ384" s="23"/>
      <c r="AK384" s="23"/>
    </row>
    <row r="385"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AI385" s="23"/>
      <c r="AJ385" s="23"/>
      <c r="AK385" s="23"/>
    </row>
    <row r="386"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AI386" s="23"/>
      <c r="AJ386" s="23"/>
      <c r="AK386" s="23"/>
    </row>
    <row r="387"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AI387" s="23"/>
      <c r="AJ387" s="23"/>
      <c r="AK387" s="23"/>
    </row>
    <row r="388"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AI388" s="23"/>
      <c r="AJ388" s="23"/>
      <c r="AK388" s="23"/>
    </row>
    <row r="389"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AI389" s="23"/>
      <c r="AJ389" s="23"/>
      <c r="AK389" s="23"/>
    </row>
    <row r="390"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AI390" s="23"/>
      <c r="AJ390" s="23"/>
      <c r="AK390" s="23"/>
    </row>
    <row r="391"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AI391" s="23"/>
      <c r="AJ391" s="23"/>
      <c r="AK391" s="23"/>
    </row>
    <row r="392"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AI392" s="23"/>
      <c r="AJ392" s="23"/>
      <c r="AK392" s="23"/>
    </row>
    <row r="393"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AI393" s="23"/>
      <c r="AJ393" s="23"/>
      <c r="AK393" s="23"/>
    </row>
    <row r="394"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AI394" s="23"/>
      <c r="AJ394" s="23"/>
      <c r="AK394" s="23"/>
    </row>
    <row r="395"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AI395" s="23"/>
      <c r="AJ395" s="23"/>
      <c r="AK395" s="23"/>
    </row>
    <row r="396"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AI396" s="23"/>
      <c r="AJ396" s="23"/>
      <c r="AK396" s="23"/>
    </row>
    <row r="397"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AI397" s="23"/>
      <c r="AJ397" s="23"/>
      <c r="AK397" s="23"/>
    </row>
    <row r="398"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AI398" s="23"/>
      <c r="AJ398" s="23"/>
      <c r="AK398" s="23"/>
    </row>
    <row r="399"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AI399" s="23"/>
      <c r="AJ399" s="23"/>
      <c r="AK399" s="23"/>
    </row>
    <row r="400"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AI400" s="23"/>
      <c r="AJ400" s="23"/>
      <c r="AK400" s="23"/>
    </row>
    <row r="401"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AI401" s="23"/>
      <c r="AJ401" s="23"/>
      <c r="AK401" s="23"/>
    </row>
    <row r="402"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AI402" s="23"/>
      <c r="AJ402" s="23"/>
      <c r="AK402" s="23"/>
    </row>
    <row r="403"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AI403" s="23"/>
      <c r="AJ403" s="23"/>
      <c r="AK403" s="23"/>
    </row>
    <row r="404"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AI404" s="23"/>
      <c r="AJ404" s="23"/>
      <c r="AK404" s="23"/>
    </row>
    <row r="405"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AI405" s="23"/>
      <c r="AJ405" s="23"/>
      <c r="AK405" s="23"/>
    </row>
    <row r="406"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AI406" s="23"/>
      <c r="AJ406" s="23"/>
      <c r="AK406" s="23"/>
    </row>
    <row r="407"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AI407" s="23"/>
      <c r="AJ407" s="23"/>
      <c r="AK407" s="23"/>
    </row>
    <row r="408"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AI408" s="23"/>
      <c r="AJ408" s="23"/>
      <c r="AK408" s="23"/>
    </row>
    <row r="409"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AI409" s="23"/>
      <c r="AJ409" s="23"/>
      <c r="AK409" s="23"/>
    </row>
    <row r="410"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AI410" s="23"/>
      <c r="AJ410" s="23"/>
      <c r="AK410" s="23"/>
    </row>
    <row r="411"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AI411" s="23"/>
      <c r="AJ411" s="23"/>
      <c r="AK411" s="23"/>
    </row>
    <row r="412"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AI412" s="23"/>
      <c r="AJ412" s="23"/>
      <c r="AK412" s="23"/>
    </row>
    <row r="413"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AI413" s="23"/>
      <c r="AJ413" s="23"/>
      <c r="AK413" s="23"/>
    </row>
    <row r="414"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AI414" s="23"/>
      <c r="AJ414" s="23"/>
      <c r="AK414" s="23"/>
    </row>
    <row r="415"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AI415" s="23"/>
      <c r="AJ415" s="23"/>
      <c r="AK415" s="23"/>
    </row>
    <row r="416"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AI416" s="23"/>
      <c r="AJ416" s="23"/>
      <c r="AK416" s="23"/>
    </row>
    <row r="417"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AI417" s="23"/>
      <c r="AJ417" s="23"/>
      <c r="AK417" s="23"/>
    </row>
    <row r="418"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AI418" s="23"/>
      <c r="AJ418" s="23"/>
      <c r="AK418" s="23"/>
    </row>
    <row r="419"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AI419" s="23"/>
      <c r="AJ419" s="23"/>
      <c r="AK419" s="23"/>
    </row>
    <row r="420"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AI420" s="23"/>
      <c r="AJ420" s="23"/>
      <c r="AK420" s="23"/>
    </row>
    <row r="421"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AI421" s="23"/>
      <c r="AJ421" s="23"/>
      <c r="AK421" s="23"/>
    </row>
    <row r="422"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AI422" s="23"/>
      <c r="AJ422" s="23"/>
      <c r="AK422" s="23"/>
    </row>
    <row r="423"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AI423" s="23"/>
      <c r="AJ423" s="23"/>
      <c r="AK423" s="23"/>
    </row>
    <row r="424"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AI424" s="23"/>
      <c r="AJ424" s="23"/>
      <c r="AK424" s="23"/>
    </row>
    <row r="425"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AI425" s="23"/>
      <c r="AJ425" s="23"/>
      <c r="AK425" s="23"/>
    </row>
    <row r="426"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AI426" s="23"/>
      <c r="AJ426" s="23"/>
      <c r="AK426" s="23"/>
    </row>
    <row r="427"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AI427" s="23"/>
      <c r="AJ427" s="23"/>
      <c r="AK427" s="23"/>
    </row>
    <row r="428"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AI428" s="23"/>
      <c r="AJ428" s="23"/>
      <c r="AK428" s="23"/>
    </row>
    <row r="429"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AI429" s="23"/>
      <c r="AJ429" s="23"/>
      <c r="AK429" s="23"/>
    </row>
    <row r="430"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AI430" s="23"/>
      <c r="AJ430" s="23"/>
      <c r="AK430" s="23"/>
    </row>
    <row r="431"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AI431" s="23"/>
      <c r="AJ431" s="23"/>
      <c r="AK431" s="23"/>
    </row>
    <row r="432"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AI432" s="23"/>
      <c r="AJ432" s="23"/>
      <c r="AK432" s="23"/>
    </row>
    <row r="433"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AI433" s="23"/>
      <c r="AJ433" s="23"/>
      <c r="AK433" s="23"/>
    </row>
    <row r="434"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AI434" s="23"/>
      <c r="AJ434" s="23"/>
      <c r="AK434" s="23"/>
    </row>
    <row r="435"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AI435" s="23"/>
      <c r="AJ435" s="23"/>
      <c r="AK435" s="23"/>
    </row>
    <row r="436"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AI436" s="23"/>
      <c r="AJ436" s="23"/>
      <c r="AK436" s="23"/>
    </row>
    <row r="437"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AI437" s="23"/>
      <c r="AJ437" s="23"/>
      <c r="AK437" s="23"/>
    </row>
    <row r="438"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AI438" s="23"/>
      <c r="AJ438" s="23"/>
      <c r="AK438" s="23"/>
    </row>
    <row r="439"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AI439" s="23"/>
      <c r="AJ439" s="23"/>
      <c r="AK439" s="23"/>
    </row>
    <row r="440"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AI440" s="23"/>
      <c r="AJ440" s="23"/>
      <c r="AK440" s="23"/>
    </row>
    <row r="441"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AI441" s="23"/>
      <c r="AJ441" s="23"/>
      <c r="AK441" s="23"/>
    </row>
    <row r="442"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AI442" s="23"/>
      <c r="AJ442" s="23"/>
      <c r="AK442" s="23"/>
    </row>
    <row r="443"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AI443" s="23"/>
      <c r="AJ443" s="23"/>
      <c r="AK443" s="23"/>
    </row>
    <row r="444"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AI444" s="23"/>
      <c r="AJ444" s="23"/>
      <c r="AK444" s="23"/>
    </row>
    <row r="445"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AI445" s="23"/>
      <c r="AJ445" s="23"/>
      <c r="AK445" s="23"/>
    </row>
    <row r="446"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AI446" s="23"/>
      <c r="AJ446" s="23"/>
      <c r="AK446" s="23"/>
    </row>
    <row r="447"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AI447" s="23"/>
      <c r="AJ447" s="23"/>
      <c r="AK447" s="23"/>
    </row>
    <row r="448"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AI448" s="23"/>
      <c r="AJ448" s="23"/>
      <c r="AK448" s="23"/>
    </row>
    <row r="449"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AI449" s="23"/>
      <c r="AJ449" s="23"/>
      <c r="AK449" s="23"/>
    </row>
    <row r="450"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AI450" s="23"/>
      <c r="AJ450" s="23"/>
      <c r="AK450" s="23"/>
    </row>
    <row r="451"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AI451" s="23"/>
      <c r="AJ451" s="23"/>
      <c r="AK451" s="23"/>
    </row>
    <row r="452"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AI452" s="23"/>
      <c r="AJ452" s="23"/>
      <c r="AK452" s="23"/>
    </row>
    <row r="453"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AI453" s="23"/>
      <c r="AJ453" s="23"/>
      <c r="AK453" s="23"/>
    </row>
    <row r="454"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AI454" s="23"/>
      <c r="AJ454" s="23"/>
      <c r="AK454" s="23"/>
    </row>
    <row r="455"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AI455" s="23"/>
      <c r="AJ455" s="23"/>
      <c r="AK455" s="23"/>
    </row>
    <row r="456"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AI456" s="23"/>
      <c r="AJ456" s="23"/>
      <c r="AK456" s="23"/>
    </row>
    <row r="457"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AI457" s="23"/>
      <c r="AJ457" s="23"/>
      <c r="AK457" s="23"/>
    </row>
    <row r="458"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AI458" s="23"/>
      <c r="AJ458" s="23"/>
      <c r="AK458" s="23"/>
    </row>
    <row r="459"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AI459" s="23"/>
      <c r="AJ459" s="23"/>
      <c r="AK459" s="23"/>
    </row>
    <row r="460"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AI460" s="23"/>
      <c r="AJ460" s="23"/>
      <c r="AK460" s="23"/>
    </row>
    <row r="461"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AI461" s="23"/>
      <c r="AJ461" s="23"/>
      <c r="AK461" s="23"/>
    </row>
    <row r="462"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AI462" s="23"/>
      <c r="AJ462" s="23"/>
      <c r="AK462" s="23"/>
    </row>
    <row r="463"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AI463" s="23"/>
      <c r="AJ463" s="23"/>
      <c r="AK463" s="23"/>
    </row>
    <row r="464"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AI464" s="23"/>
      <c r="AJ464" s="23"/>
      <c r="AK464" s="23"/>
    </row>
    <row r="465"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AI465" s="23"/>
      <c r="AJ465" s="23"/>
      <c r="AK465" s="23"/>
    </row>
    <row r="466"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AI466" s="23"/>
      <c r="AJ466" s="23"/>
      <c r="AK466" s="23"/>
    </row>
    <row r="467"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AI467" s="23"/>
      <c r="AJ467" s="23"/>
      <c r="AK467" s="23"/>
    </row>
    <row r="468"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AI468" s="23"/>
      <c r="AJ468" s="23"/>
      <c r="AK468" s="23"/>
    </row>
    <row r="469"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AI469" s="23"/>
      <c r="AJ469" s="23"/>
      <c r="AK469" s="23"/>
    </row>
    <row r="470"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AI470" s="23"/>
      <c r="AJ470" s="23"/>
      <c r="AK470" s="23"/>
    </row>
    <row r="471"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AI471" s="23"/>
      <c r="AJ471" s="23"/>
      <c r="AK471" s="23"/>
    </row>
    <row r="472"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AI472" s="23"/>
      <c r="AJ472" s="23"/>
      <c r="AK472" s="23"/>
    </row>
    <row r="473"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AI473" s="23"/>
      <c r="AJ473" s="23"/>
      <c r="AK473" s="23"/>
    </row>
    <row r="474"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AI474" s="23"/>
      <c r="AJ474" s="23"/>
      <c r="AK474" s="23"/>
    </row>
    <row r="475"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AI475" s="23"/>
      <c r="AJ475" s="23"/>
      <c r="AK475" s="23"/>
    </row>
    <row r="476"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AI476" s="23"/>
      <c r="AJ476" s="23"/>
      <c r="AK476" s="23"/>
    </row>
    <row r="477"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AI477" s="23"/>
      <c r="AJ477" s="23"/>
      <c r="AK477" s="23"/>
    </row>
    <row r="478"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AI478" s="23"/>
      <c r="AJ478" s="23"/>
      <c r="AK478" s="23"/>
    </row>
    <row r="479"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AI479" s="23"/>
      <c r="AJ479" s="23"/>
      <c r="AK479" s="23"/>
    </row>
    <row r="480"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AI480" s="23"/>
      <c r="AJ480" s="23"/>
      <c r="AK480" s="23"/>
    </row>
    <row r="481"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AI481" s="23"/>
      <c r="AJ481" s="23"/>
      <c r="AK481" s="23"/>
    </row>
    <row r="482"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AI482" s="23"/>
      <c r="AJ482" s="23"/>
      <c r="AK482" s="23"/>
    </row>
    <row r="483"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AI483" s="23"/>
      <c r="AJ483" s="23"/>
      <c r="AK483" s="23"/>
    </row>
    <row r="484"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AI484" s="23"/>
      <c r="AJ484" s="23"/>
      <c r="AK484" s="23"/>
    </row>
    <row r="485"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AI485" s="23"/>
      <c r="AJ485" s="23"/>
      <c r="AK485" s="23"/>
    </row>
    <row r="486"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AI486" s="23"/>
      <c r="AJ486" s="23"/>
      <c r="AK486" s="23"/>
    </row>
    <row r="487"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AI487" s="23"/>
      <c r="AJ487" s="23"/>
      <c r="AK487" s="23"/>
    </row>
    <row r="488"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AI488" s="23"/>
      <c r="AJ488" s="23"/>
      <c r="AK488" s="23"/>
    </row>
    <row r="489"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AI489" s="23"/>
      <c r="AJ489" s="23"/>
      <c r="AK489" s="23"/>
    </row>
    <row r="490"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AI490" s="23"/>
      <c r="AJ490" s="23"/>
      <c r="AK490" s="23"/>
    </row>
    <row r="491"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AI491" s="23"/>
      <c r="AJ491" s="23"/>
      <c r="AK491" s="23"/>
    </row>
    <row r="492"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AI492" s="23"/>
      <c r="AJ492" s="23"/>
      <c r="AK492" s="23"/>
    </row>
    <row r="493"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AI493" s="23"/>
      <c r="AJ493" s="23"/>
      <c r="AK493" s="23"/>
    </row>
    <row r="494"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AI494" s="23"/>
      <c r="AJ494" s="23"/>
      <c r="AK494" s="23"/>
    </row>
    <row r="495"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AI495" s="23"/>
      <c r="AJ495" s="23"/>
      <c r="AK495" s="23"/>
    </row>
    <row r="496"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AI496" s="23"/>
      <c r="AJ496" s="23"/>
      <c r="AK496" s="23"/>
    </row>
    <row r="497"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AI497" s="23"/>
      <c r="AJ497" s="23"/>
      <c r="AK497" s="23"/>
    </row>
    <row r="498"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AI498" s="23"/>
      <c r="AJ498" s="23"/>
      <c r="AK498" s="23"/>
    </row>
    <row r="499"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AI499" s="23"/>
      <c r="AJ499" s="23"/>
      <c r="AK499" s="23"/>
    </row>
    <row r="500"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AI500" s="23"/>
      <c r="AJ500" s="23"/>
      <c r="AK500" s="23"/>
    </row>
    <row r="501"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AI501" s="23"/>
      <c r="AJ501" s="23"/>
      <c r="AK501" s="23"/>
    </row>
    <row r="502"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AI502" s="23"/>
      <c r="AJ502" s="23"/>
      <c r="AK502" s="23"/>
    </row>
    <row r="503"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AI503" s="23"/>
      <c r="AJ503" s="23"/>
      <c r="AK503" s="23"/>
    </row>
    <row r="504"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AI504" s="23"/>
      <c r="AJ504" s="23"/>
      <c r="AK504" s="23"/>
    </row>
    <row r="505"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AI505" s="23"/>
      <c r="AJ505" s="23"/>
      <c r="AK505" s="23"/>
    </row>
    <row r="506"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AI506" s="23"/>
      <c r="AJ506" s="23"/>
      <c r="AK506" s="23"/>
    </row>
    <row r="507"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AI507" s="23"/>
      <c r="AJ507" s="23"/>
      <c r="AK507" s="23"/>
    </row>
    <row r="508"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AI508" s="23"/>
      <c r="AJ508" s="23"/>
      <c r="AK508" s="23"/>
    </row>
    <row r="509"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AI509" s="23"/>
      <c r="AJ509" s="23"/>
      <c r="AK509" s="23"/>
    </row>
    <row r="510"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AI510" s="23"/>
      <c r="AJ510" s="23"/>
      <c r="AK510" s="23"/>
    </row>
    <row r="511"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AI511" s="23"/>
      <c r="AJ511" s="23"/>
      <c r="AK511" s="23"/>
    </row>
    <row r="512"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AI512" s="23"/>
      <c r="AJ512" s="23"/>
      <c r="AK512" s="23"/>
    </row>
    <row r="513"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AI513" s="23"/>
      <c r="AJ513" s="23"/>
      <c r="AK513" s="23"/>
    </row>
    <row r="514"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AI514" s="23"/>
      <c r="AJ514" s="23"/>
      <c r="AK514" s="23"/>
    </row>
    <row r="515"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AI515" s="23"/>
      <c r="AJ515" s="23"/>
      <c r="AK515" s="23"/>
    </row>
    <row r="516"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AI516" s="23"/>
      <c r="AJ516" s="23"/>
      <c r="AK516" s="23"/>
    </row>
    <row r="517"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AI517" s="23"/>
      <c r="AJ517" s="23"/>
      <c r="AK517" s="23"/>
    </row>
    <row r="518"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AI518" s="23"/>
      <c r="AJ518" s="23"/>
      <c r="AK518" s="23"/>
    </row>
    <row r="519"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AI519" s="23"/>
      <c r="AJ519" s="23"/>
      <c r="AK519" s="23"/>
    </row>
    <row r="520"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AI520" s="23"/>
      <c r="AJ520" s="23"/>
      <c r="AK520" s="23"/>
    </row>
    <row r="521"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AI521" s="23"/>
      <c r="AJ521" s="23"/>
      <c r="AK521" s="23"/>
    </row>
    <row r="522"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AI522" s="23"/>
      <c r="AJ522" s="23"/>
      <c r="AK522" s="23"/>
    </row>
    <row r="523"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AI523" s="23"/>
      <c r="AJ523" s="23"/>
      <c r="AK523" s="23"/>
    </row>
    <row r="524"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AI524" s="23"/>
      <c r="AJ524" s="23"/>
      <c r="AK524" s="23"/>
    </row>
    <row r="525"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AI525" s="23"/>
      <c r="AJ525" s="23"/>
      <c r="AK525" s="23"/>
    </row>
    <row r="526"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AI526" s="23"/>
      <c r="AJ526" s="23"/>
      <c r="AK526" s="23"/>
    </row>
    <row r="527"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AI527" s="23"/>
      <c r="AJ527" s="23"/>
      <c r="AK527" s="23"/>
    </row>
    <row r="528"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AI528" s="23"/>
      <c r="AJ528" s="23"/>
      <c r="AK528" s="23"/>
    </row>
    <row r="529"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AI529" s="23"/>
      <c r="AJ529" s="23"/>
      <c r="AK529" s="23"/>
    </row>
    <row r="530"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AI530" s="23"/>
      <c r="AJ530" s="23"/>
      <c r="AK530" s="23"/>
    </row>
    <row r="531"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AI531" s="23"/>
      <c r="AJ531" s="23"/>
      <c r="AK531" s="23"/>
    </row>
    <row r="532"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AI532" s="23"/>
      <c r="AJ532" s="23"/>
      <c r="AK532" s="23"/>
    </row>
    <row r="533"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AI533" s="23"/>
      <c r="AJ533" s="23"/>
      <c r="AK533" s="23"/>
    </row>
    <row r="534"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AI534" s="23"/>
      <c r="AJ534" s="23"/>
      <c r="AK534" s="23"/>
    </row>
    <row r="535"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AI535" s="23"/>
      <c r="AJ535" s="23"/>
      <c r="AK535" s="23"/>
    </row>
    <row r="536"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AI536" s="23"/>
      <c r="AJ536" s="23"/>
      <c r="AK536" s="23"/>
    </row>
    <row r="537"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AI537" s="23"/>
      <c r="AJ537" s="23"/>
      <c r="AK537" s="23"/>
    </row>
    <row r="538"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AI538" s="23"/>
      <c r="AJ538" s="23"/>
      <c r="AK538" s="23"/>
    </row>
    <row r="539"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AI539" s="23"/>
      <c r="AJ539" s="23"/>
      <c r="AK539" s="23"/>
    </row>
    <row r="540"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AI540" s="23"/>
      <c r="AJ540" s="23"/>
      <c r="AK540" s="23"/>
    </row>
    <row r="541"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AI541" s="23"/>
      <c r="AJ541" s="23"/>
      <c r="AK541" s="23"/>
    </row>
    <row r="542"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AI542" s="23"/>
      <c r="AJ542" s="23"/>
      <c r="AK542" s="23"/>
    </row>
    <row r="543"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AI543" s="23"/>
      <c r="AJ543" s="23"/>
      <c r="AK543" s="23"/>
    </row>
    <row r="544"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AI544" s="23"/>
      <c r="AJ544" s="23"/>
      <c r="AK544" s="23"/>
    </row>
    <row r="545"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AI545" s="23"/>
      <c r="AJ545" s="23"/>
      <c r="AK545" s="23"/>
    </row>
    <row r="546"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AI546" s="23"/>
      <c r="AJ546" s="23"/>
      <c r="AK546" s="23"/>
    </row>
    <row r="547"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AI547" s="23"/>
      <c r="AJ547" s="23"/>
      <c r="AK547" s="23"/>
    </row>
    <row r="548"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AI548" s="23"/>
      <c r="AJ548" s="23"/>
      <c r="AK548" s="23"/>
    </row>
    <row r="549"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AI549" s="23"/>
      <c r="AJ549" s="23"/>
      <c r="AK549" s="23"/>
    </row>
    <row r="550"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AI550" s="23"/>
      <c r="AJ550" s="23"/>
      <c r="AK550" s="23"/>
    </row>
    <row r="551"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AI551" s="23"/>
      <c r="AJ551" s="23"/>
      <c r="AK551" s="23"/>
    </row>
    <row r="552"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AI552" s="23"/>
      <c r="AJ552" s="23"/>
      <c r="AK552" s="23"/>
    </row>
    <row r="553"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AI553" s="23"/>
      <c r="AJ553" s="23"/>
      <c r="AK553" s="23"/>
    </row>
    <row r="554"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AI554" s="23"/>
      <c r="AJ554" s="23"/>
      <c r="AK554" s="23"/>
    </row>
    <row r="555"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AI555" s="23"/>
      <c r="AJ555" s="23"/>
      <c r="AK555" s="23"/>
    </row>
    <row r="556"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AI556" s="23"/>
      <c r="AJ556" s="23"/>
      <c r="AK556" s="23"/>
    </row>
    <row r="557"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AI557" s="23"/>
      <c r="AJ557" s="23"/>
      <c r="AK557" s="23"/>
    </row>
    <row r="558"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AI558" s="23"/>
      <c r="AJ558" s="23"/>
      <c r="AK558" s="23"/>
    </row>
    <row r="559"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AI559" s="23"/>
      <c r="AJ559" s="23"/>
      <c r="AK559" s="23"/>
    </row>
    <row r="560"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AI560" s="23"/>
      <c r="AJ560" s="23"/>
      <c r="AK560" s="23"/>
    </row>
    <row r="561"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AI561" s="23"/>
      <c r="AJ561" s="23"/>
      <c r="AK561" s="23"/>
    </row>
    <row r="562"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AI562" s="23"/>
      <c r="AJ562" s="23"/>
      <c r="AK562" s="23"/>
    </row>
    <row r="563"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AI563" s="23"/>
      <c r="AJ563" s="23"/>
      <c r="AK563" s="23"/>
    </row>
    <row r="564"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AI564" s="23"/>
      <c r="AJ564" s="23"/>
      <c r="AK564" s="23"/>
    </row>
    <row r="565"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AI565" s="23"/>
      <c r="AJ565" s="23"/>
      <c r="AK565" s="23"/>
    </row>
    <row r="566"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AI566" s="23"/>
      <c r="AJ566" s="23"/>
      <c r="AK566" s="23"/>
    </row>
    <row r="567"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AI567" s="23"/>
      <c r="AJ567" s="23"/>
      <c r="AK567" s="23"/>
    </row>
    <row r="568"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AI568" s="23"/>
      <c r="AJ568" s="23"/>
      <c r="AK568" s="23"/>
    </row>
    <row r="569"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AI569" s="23"/>
      <c r="AJ569" s="23"/>
      <c r="AK569" s="23"/>
    </row>
    <row r="570"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AI570" s="23"/>
      <c r="AJ570" s="23"/>
      <c r="AK570" s="23"/>
    </row>
    <row r="571"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AI571" s="23"/>
      <c r="AJ571" s="23"/>
      <c r="AK571" s="23"/>
    </row>
    <row r="572"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AI572" s="23"/>
      <c r="AJ572" s="23"/>
      <c r="AK572" s="23"/>
    </row>
    <row r="573"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AI573" s="23"/>
      <c r="AJ573" s="23"/>
      <c r="AK573" s="23"/>
    </row>
    <row r="574"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AI574" s="23"/>
      <c r="AJ574" s="23"/>
      <c r="AK574" s="23"/>
    </row>
    <row r="575"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AI575" s="23"/>
      <c r="AJ575" s="23"/>
      <c r="AK575" s="23"/>
    </row>
    <row r="576"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AI576" s="23"/>
      <c r="AJ576" s="23"/>
      <c r="AK576" s="23"/>
    </row>
    <row r="577"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AI577" s="23"/>
      <c r="AJ577" s="23"/>
      <c r="AK577" s="23"/>
    </row>
    <row r="578"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AI578" s="23"/>
      <c r="AJ578" s="23"/>
      <c r="AK578" s="23"/>
    </row>
    <row r="579"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AI579" s="23"/>
      <c r="AJ579" s="23"/>
      <c r="AK579" s="23"/>
    </row>
    <row r="580"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AI580" s="23"/>
      <c r="AJ580" s="23"/>
      <c r="AK580" s="23"/>
    </row>
    <row r="581"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AI581" s="23"/>
      <c r="AJ581" s="23"/>
      <c r="AK581" s="23"/>
    </row>
    <row r="582"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AI582" s="23"/>
      <c r="AJ582" s="23"/>
      <c r="AK582" s="23"/>
    </row>
    <row r="583"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AI583" s="23"/>
      <c r="AJ583" s="23"/>
      <c r="AK583" s="23"/>
    </row>
    <row r="584"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AI584" s="23"/>
      <c r="AJ584" s="23"/>
      <c r="AK584" s="23"/>
    </row>
    <row r="585"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AI585" s="23"/>
      <c r="AJ585" s="23"/>
      <c r="AK585" s="23"/>
    </row>
    <row r="586"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AI586" s="23"/>
      <c r="AJ586" s="23"/>
      <c r="AK586" s="23"/>
    </row>
    <row r="587"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AI587" s="23"/>
      <c r="AJ587" s="23"/>
      <c r="AK587" s="23"/>
    </row>
    <row r="588"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AI588" s="23"/>
      <c r="AJ588" s="23"/>
      <c r="AK588" s="23"/>
    </row>
    <row r="589"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AI589" s="23"/>
      <c r="AJ589" s="23"/>
      <c r="AK589" s="23"/>
    </row>
    <row r="590"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AI590" s="23"/>
      <c r="AJ590" s="23"/>
      <c r="AK590" s="23"/>
    </row>
    <row r="591"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AI591" s="23"/>
      <c r="AJ591" s="23"/>
      <c r="AK591" s="23"/>
    </row>
    <row r="592"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AI592" s="23"/>
      <c r="AJ592" s="23"/>
      <c r="AK592" s="23"/>
    </row>
    <row r="593"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AI593" s="23"/>
      <c r="AJ593" s="23"/>
      <c r="AK593" s="23"/>
    </row>
    <row r="594"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AI594" s="23"/>
      <c r="AJ594" s="23"/>
      <c r="AK594" s="23"/>
    </row>
    <row r="595"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AI595" s="23"/>
      <c r="AJ595" s="23"/>
      <c r="AK595" s="23"/>
    </row>
    <row r="596"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AI596" s="23"/>
      <c r="AJ596" s="23"/>
      <c r="AK596" s="23"/>
    </row>
    <row r="597"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AI597" s="23"/>
      <c r="AJ597" s="23"/>
      <c r="AK597" s="23"/>
    </row>
    <row r="598"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AI598" s="23"/>
      <c r="AJ598" s="23"/>
      <c r="AK598" s="23"/>
    </row>
    <row r="599"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AI599" s="23"/>
      <c r="AJ599" s="23"/>
      <c r="AK599" s="23"/>
    </row>
    <row r="600"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AI600" s="23"/>
      <c r="AJ600" s="23"/>
      <c r="AK600" s="23"/>
    </row>
    <row r="601"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AI601" s="23"/>
      <c r="AJ601" s="23"/>
      <c r="AK601" s="23"/>
    </row>
    <row r="602"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AI602" s="23"/>
      <c r="AJ602" s="23"/>
      <c r="AK602" s="23"/>
    </row>
    <row r="603"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AI603" s="23"/>
      <c r="AJ603" s="23"/>
      <c r="AK603" s="23"/>
    </row>
    <row r="604"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AI604" s="23"/>
      <c r="AJ604" s="23"/>
      <c r="AK604" s="23"/>
    </row>
    <row r="605"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AI605" s="23"/>
      <c r="AJ605" s="23"/>
      <c r="AK605" s="23"/>
    </row>
    <row r="606"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AI606" s="23"/>
      <c r="AJ606" s="23"/>
      <c r="AK606" s="23"/>
    </row>
    <row r="607"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AI607" s="23"/>
      <c r="AJ607" s="23"/>
      <c r="AK607" s="23"/>
    </row>
    <row r="608"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AI608" s="23"/>
      <c r="AJ608" s="23"/>
      <c r="AK608" s="23"/>
    </row>
    <row r="609"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AI609" s="23"/>
      <c r="AJ609" s="23"/>
      <c r="AK609" s="23"/>
    </row>
    <row r="610"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AI610" s="23"/>
      <c r="AJ610" s="23"/>
      <c r="AK610" s="23"/>
    </row>
    <row r="611"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AI611" s="23"/>
      <c r="AJ611" s="23"/>
      <c r="AK611" s="23"/>
    </row>
    <row r="612"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AI612" s="23"/>
      <c r="AJ612" s="23"/>
      <c r="AK612" s="23"/>
    </row>
    <row r="613"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AI613" s="23"/>
      <c r="AJ613" s="23"/>
      <c r="AK613" s="23"/>
    </row>
    <row r="614"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AI614" s="23"/>
      <c r="AJ614" s="23"/>
      <c r="AK614" s="23"/>
    </row>
    <row r="615"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AI615" s="23"/>
      <c r="AJ615" s="23"/>
      <c r="AK615" s="23"/>
    </row>
    <row r="616"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AI616" s="23"/>
      <c r="AJ616" s="23"/>
      <c r="AK616" s="23"/>
    </row>
    <row r="617"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AI617" s="23"/>
      <c r="AJ617" s="23"/>
      <c r="AK617" s="23"/>
    </row>
    <row r="618"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AI618" s="23"/>
      <c r="AJ618" s="23"/>
      <c r="AK618" s="23"/>
    </row>
    <row r="619"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AI619" s="23"/>
      <c r="AJ619" s="23"/>
      <c r="AK619" s="23"/>
    </row>
    <row r="620"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AI620" s="23"/>
      <c r="AJ620" s="23"/>
      <c r="AK620" s="23"/>
    </row>
    <row r="621"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AI621" s="23"/>
      <c r="AJ621" s="23"/>
      <c r="AK621" s="23"/>
    </row>
    <row r="622"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AI622" s="23"/>
      <c r="AJ622" s="23"/>
      <c r="AK622" s="23"/>
    </row>
    <row r="623"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AI623" s="23"/>
      <c r="AJ623" s="23"/>
      <c r="AK623" s="23"/>
    </row>
    <row r="624"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AI624" s="23"/>
      <c r="AJ624" s="23"/>
      <c r="AK624" s="23"/>
    </row>
    <row r="625"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AI625" s="23"/>
      <c r="AJ625" s="23"/>
      <c r="AK625" s="23"/>
    </row>
    <row r="626"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AI626" s="23"/>
      <c r="AJ626" s="23"/>
      <c r="AK626" s="23"/>
    </row>
    <row r="627"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AI627" s="23"/>
      <c r="AJ627" s="23"/>
      <c r="AK627" s="23"/>
    </row>
    <row r="628"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AI628" s="23"/>
      <c r="AJ628" s="23"/>
      <c r="AK628" s="23"/>
    </row>
    <row r="629"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AI629" s="23"/>
      <c r="AJ629" s="23"/>
      <c r="AK629" s="23"/>
    </row>
    <row r="630"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AI630" s="23"/>
      <c r="AJ630" s="23"/>
      <c r="AK630" s="23"/>
    </row>
    <row r="631"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AI631" s="23"/>
      <c r="AJ631" s="23"/>
      <c r="AK631" s="23"/>
    </row>
    <row r="632"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AI632" s="23"/>
      <c r="AJ632" s="23"/>
      <c r="AK632" s="23"/>
    </row>
    <row r="633"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AI633" s="23"/>
      <c r="AJ633" s="23"/>
      <c r="AK633" s="23"/>
    </row>
    <row r="634"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AI634" s="23"/>
      <c r="AJ634" s="23"/>
      <c r="AK634" s="23"/>
    </row>
    <row r="635"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AI635" s="23"/>
      <c r="AJ635" s="23"/>
      <c r="AK635" s="23"/>
    </row>
    <row r="636"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AI636" s="23"/>
      <c r="AJ636" s="23"/>
      <c r="AK636" s="23"/>
    </row>
    <row r="637"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AI637" s="23"/>
      <c r="AJ637" s="23"/>
      <c r="AK637" s="23"/>
    </row>
    <row r="638"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AI638" s="23"/>
      <c r="AJ638" s="23"/>
      <c r="AK638" s="23"/>
    </row>
    <row r="639"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AI639" s="23"/>
      <c r="AJ639" s="23"/>
      <c r="AK639" s="23"/>
    </row>
    <row r="640"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AI640" s="23"/>
      <c r="AJ640" s="23"/>
      <c r="AK640" s="23"/>
    </row>
    <row r="641"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AI641" s="23"/>
      <c r="AJ641" s="23"/>
      <c r="AK641" s="23"/>
    </row>
    <row r="642"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AI642" s="23"/>
      <c r="AJ642" s="23"/>
      <c r="AK642" s="23"/>
    </row>
    <row r="643"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AI643" s="23"/>
      <c r="AJ643" s="23"/>
      <c r="AK643" s="23"/>
    </row>
    <row r="644"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AI644" s="23"/>
      <c r="AJ644" s="23"/>
      <c r="AK644" s="23"/>
    </row>
    <row r="645"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AI645" s="23"/>
      <c r="AJ645" s="23"/>
      <c r="AK645" s="23"/>
    </row>
    <row r="646"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AI646" s="23"/>
      <c r="AJ646" s="23"/>
      <c r="AK646" s="23"/>
    </row>
    <row r="647"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AI647" s="23"/>
      <c r="AJ647" s="23"/>
      <c r="AK647" s="23"/>
    </row>
    <row r="648"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AI648" s="23"/>
      <c r="AJ648" s="23"/>
      <c r="AK648" s="23"/>
    </row>
    <row r="649"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AI649" s="23"/>
      <c r="AJ649" s="23"/>
      <c r="AK649" s="23"/>
    </row>
    <row r="650"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AI650" s="23"/>
      <c r="AJ650" s="23"/>
      <c r="AK650" s="23"/>
    </row>
    <row r="651"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AI651" s="23"/>
      <c r="AJ651" s="23"/>
      <c r="AK651" s="23"/>
    </row>
    <row r="652"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AI652" s="23"/>
      <c r="AJ652" s="23"/>
      <c r="AK652" s="23"/>
    </row>
    <row r="653"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AI653" s="23"/>
      <c r="AJ653" s="23"/>
      <c r="AK653" s="23"/>
    </row>
    <row r="654"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AI654" s="23"/>
      <c r="AJ654" s="23"/>
      <c r="AK654" s="23"/>
    </row>
    <row r="655"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AI655" s="23"/>
      <c r="AJ655" s="23"/>
      <c r="AK655" s="23"/>
    </row>
    <row r="656"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AI656" s="23"/>
      <c r="AJ656" s="23"/>
      <c r="AK656" s="23"/>
    </row>
    <row r="657"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AI657" s="23"/>
      <c r="AJ657" s="23"/>
      <c r="AK657" s="23"/>
    </row>
    <row r="658"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AI658" s="23"/>
      <c r="AJ658" s="23"/>
      <c r="AK658" s="23"/>
    </row>
    <row r="659"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AI659" s="23"/>
      <c r="AJ659" s="23"/>
      <c r="AK659" s="23"/>
    </row>
    <row r="660"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AI660" s="23"/>
      <c r="AJ660" s="23"/>
      <c r="AK660" s="23"/>
    </row>
    <row r="661"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AI661" s="23"/>
      <c r="AJ661" s="23"/>
      <c r="AK661" s="23"/>
    </row>
    <row r="662"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AI662" s="23"/>
      <c r="AJ662" s="23"/>
      <c r="AK662" s="23"/>
    </row>
    <row r="663"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AI663" s="23"/>
      <c r="AJ663" s="23"/>
      <c r="AK663" s="23"/>
    </row>
    <row r="664"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AI664" s="23"/>
      <c r="AJ664" s="23"/>
      <c r="AK664" s="23"/>
    </row>
    <row r="665"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AI665" s="23"/>
      <c r="AJ665" s="23"/>
      <c r="AK665" s="23"/>
    </row>
    <row r="666"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AI666" s="23"/>
      <c r="AJ666" s="23"/>
      <c r="AK666" s="23"/>
    </row>
    <row r="667"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AI667" s="23"/>
      <c r="AJ667" s="23"/>
      <c r="AK667" s="23"/>
    </row>
    <row r="668"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AI668" s="23"/>
      <c r="AJ668" s="23"/>
      <c r="AK668" s="23"/>
    </row>
    <row r="669"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AI669" s="23"/>
      <c r="AJ669" s="23"/>
      <c r="AK669" s="23"/>
    </row>
    <row r="670"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AI670" s="23"/>
      <c r="AJ670" s="23"/>
      <c r="AK670" s="23"/>
    </row>
    <row r="671"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AI671" s="23"/>
      <c r="AJ671" s="23"/>
      <c r="AK671" s="23"/>
    </row>
    <row r="672"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AI672" s="23"/>
      <c r="AJ672" s="23"/>
      <c r="AK672" s="23"/>
    </row>
    <row r="673"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AI673" s="23"/>
      <c r="AJ673" s="23"/>
      <c r="AK673" s="23"/>
    </row>
    <row r="674"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AI674" s="23"/>
      <c r="AJ674" s="23"/>
      <c r="AK674" s="23"/>
    </row>
    <row r="675"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AI675" s="23"/>
      <c r="AJ675" s="23"/>
      <c r="AK675" s="23"/>
    </row>
    <row r="676"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AI676" s="23"/>
      <c r="AJ676" s="23"/>
      <c r="AK676" s="23"/>
    </row>
    <row r="677"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AI677" s="23"/>
      <c r="AJ677" s="23"/>
      <c r="AK677" s="23"/>
    </row>
    <row r="678"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AI678" s="23"/>
      <c r="AJ678" s="23"/>
      <c r="AK678" s="23"/>
    </row>
    <row r="679"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AI679" s="23"/>
      <c r="AJ679" s="23"/>
      <c r="AK679" s="23"/>
    </row>
    <row r="680"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AI680" s="23"/>
      <c r="AJ680" s="23"/>
      <c r="AK680" s="23"/>
    </row>
    <row r="681"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AI681" s="23"/>
      <c r="AJ681" s="23"/>
      <c r="AK681" s="23"/>
    </row>
    <row r="682"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AI682" s="23"/>
      <c r="AJ682" s="23"/>
      <c r="AK682" s="23"/>
    </row>
    <row r="683"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AI683" s="23"/>
      <c r="AJ683" s="23"/>
      <c r="AK683" s="23"/>
    </row>
    <row r="684"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AI684" s="23"/>
      <c r="AJ684" s="23"/>
      <c r="AK684" s="23"/>
    </row>
    <row r="685"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AI685" s="23"/>
      <c r="AJ685" s="23"/>
      <c r="AK685" s="23"/>
    </row>
    <row r="686"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AI686" s="23"/>
      <c r="AJ686" s="23"/>
      <c r="AK686" s="23"/>
    </row>
    <row r="687"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AI687" s="23"/>
      <c r="AJ687" s="23"/>
      <c r="AK687" s="23"/>
    </row>
    <row r="688"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AI688" s="23"/>
      <c r="AJ688" s="23"/>
      <c r="AK688" s="23"/>
    </row>
    <row r="689"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AI689" s="23"/>
      <c r="AJ689" s="23"/>
      <c r="AK689" s="23"/>
    </row>
    <row r="690"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AI690" s="23"/>
      <c r="AJ690" s="23"/>
      <c r="AK690" s="23"/>
    </row>
    <row r="691"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AI691" s="23"/>
      <c r="AJ691" s="23"/>
      <c r="AK691" s="23"/>
    </row>
    <row r="692"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AI692" s="23"/>
      <c r="AJ692" s="23"/>
      <c r="AK692" s="23"/>
    </row>
    <row r="693"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AI693" s="23"/>
      <c r="AJ693" s="23"/>
      <c r="AK693" s="23"/>
    </row>
    <row r="694"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AI694" s="23"/>
      <c r="AJ694" s="23"/>
      <c r="AK694" s="23"/>
    </row>
    <row r="695"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AI695" s="23"/>
      <c r="AJ695" s="23"/>
      <c r="AK695" s="23"/>
    </row>
    <row r="696"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AI696" s="23"/>
      <c r="AJ696" s="23"/>
      <c r="AK696" s="23"/>
    </row>
    <row r="697"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AI697" s="23"/>
      <c r="AJ697" s="23"/>
      <c r="AK697" s="23"/>
    </row>
    <row r="698"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AI698" s="23"/>
      <c r="AJ698" s="23"/>
      <c r="AK698" s="23"/>
    </row>
    <row r="699"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AI699" s="23"/>
      <c r="AJ699" s="23"/>
      <c r="AK699" s="23"/>
    </row>
    <row r="700"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AI700" s="23"/>
      <c r="AJ700" s="23"/>
      <c r="AK700" s="23"/>
    </row>
    <row r="701"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AI701" s="23"/>
      <c r="AJ701" s="23"/>
      <c r="AK701" s="23"/>
    </row>
    <row r="702"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AI702" s="23"/>
      <c r="AJ702" s="23"/>
      <c r="AK702" s="23"/>
    </row>
    <row r="703"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AI703" s="23"/>
      <c r="AJ703" s="23"/>
      <c r="AK703" s="23"/>
    </row>
    <row r="704"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AI704" s="23"/>
      <c r="AJ704" s="23"/>
      <c r="AK704" s="23"/>
    </row>
    <row r="705"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AI705" s="23"/>
      <c r="AJ705" s="23"/>
      <c r="AK705" s="23"/>
    </row>
    <row r="706"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AI706" s="23"/>
      <c r="AJ706" s="23"/>
      <c r="AK706" s="23"/>
    </row>
    <row r="707"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AI707" s="23"/>
      <c r="AJ707" s="23"/>
      <c r="AK707" s="23"/>
    </row>
    <row r="708"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AI708" s="23"/>
      <c r="AJ708" s="23"/>
      <c r="AK708" s="23"/>
    </row>
    <row r="709"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AI709" s="23"/>
      <c r="AJ709" s="23"/>
      <c r="AK709" s="23"/>
    </row>
    <row r="710"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AI710" s="23"/>
      <c r="AJ710" s="23"/>
      <c r="AK710" s="23"/>
    </row>
    <row r="711"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AI711" s="23"/>
      <c r="AJ711" s="23"/>
      <c r="AK711" s="23"/>
    </row>
    <row r="712"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AI712" s="23"/>
      <c r="AJ712" s="23"/>
      <c r="AK712" s="23"/>
    </row>
    <row r="713"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AI713" s="23"/>
      <c r="AJ713" s="23"/>
      <c r="AK713" s="23"/>
    </row>
    <row r="714"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AI714" s="23"/>
      <c r="AJ714" s="23"/>
      <c r="AK714" s="23"/>
    </row>
    <row r="715"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AI715" s="23"/>
      <c r="AJ715" s="23"/>
      <c r="AK715" s="23"/>
    </row>
    <row r="716"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AI716" s="23"/>
      <c r="AJ716" s="23"/>
      <c r="AK716" s="23"/>
    </row>
    <row r="717"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AI717" s="23"/>
      <c r="AJ717" s="23"/>
      <c r="AK717" s="23"/>
    </row>
    <row r="718"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AI718" s="23"/>
      <c r="AJ718" s="23"/>
      <c r="AK718" s="23"/>
    </row>
    <row r="719"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AI719" s="23"/>
      <c r="AJ719" s="23"/>
      <c r="AK719" s="23"/>
    </row>
    <row r="720"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AI720" s="23"/>
      <c r="AJ720" s="23"/>
      <c r="AK720" s="23"/>
    </row>
    <row r="721"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AI721" s="23"/>
      <c r="AJ721" s="23"/>
      <c r="AK721" s="23"/>
    </row>
    <row r="722"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AI722" s="23"/>
      <c r="AJ722" s="23"/>
      <c r="AK722" s="23"/>
    </row>
    <row r="723"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AI723" s="23"/>
      <c r="AJ723" s="23"/>
      <c r="AK723" s="23"/>
    </row>
    <row r="724"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AI724" s="23"/>
      <c r="AJ724" s="23"/>
      <c r="AK724" s="23"/>
    </row>
    <row r="725"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AI725" s="23"/>
      <c r="AJ725" s="23"/>
      <c r="AK725" s="23"/>
    </row>
    <row r="726"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AI726" s="23"/>
      <c r="AJ726" s="23"/>
      <c r="AK726" s="23"/>
    </row>
    <row r="727"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AI727" s="23"/>
      <c r="AJ727" s="23"/>
      <c r="AK727" s="23"/>
    </row>
    <row r="728"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AI728" s="23"/>
      <c r="AJ728" s="23"/>
      <c r="AK728" s="23"/>
    </row>
    <row r="729"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AI729" s="23"/>
      <c r="AJ729" s="23"/>
      <c r="AK729" s="23"/>
    </row>
    <row r="730"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AI730" s="23"/>
      <c r="AJ730" s="23"/>
      <c r="AK730" s="23"/>
    </row>
    <row r="731"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AI731" s="23"/>
      <c r="AJ731" s="23"/>
      <c r="AK731" s="23"/>
    </row>
    <row r="732"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AI732" s="23"/>
      <c r="AJ732" s="23"/>
      <c r="AK732" s="23"/>
    </row>
    <row r="733"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AI733" s="23"/>
      <c r="AJ733" s="23"/>
      <c r="AK733" s="23"/>
    </row>
    <row r="734"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AI734" s="23"/>
      <c r="AJ734" s="23"/>
      <c r="AK734" s="23"/>
    </row>
    <row r="735"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AI735" s="23"/>
      <c r="AJ735" s="23"/>
      <c r="AK735" s="23"/>
    </row>
    <row r="736"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AI736" s="23"/>
      <c r="AJ736" s="23"/>
      <c r="AK736" s="23"/>
    </row>
    <row r="737"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AI737" s="23"/>
      <c r="AJ737" s="23"/>
      <c r="AK737" s="23"/>
    </row>
    <row r="738"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AI738" s="23"/>
      <c r="AJ738" s="23"/>
      <c r="AK738" s="23"/>
    </row>
    <row r="739"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AI739" s="23"/>
      <c r="AJ739" s="23"/>
      <c r="AK739" s="23"/>
    </row>
    <row r="740"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AI740" s="23"/>
      <c r="AJ740" s="23"/>
      <c r="AK740" s="23"/>
    </row>
    <row r="741"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AI741" s="23"/>
      <c r="AJ741" s="23"/>
      <c r="AK741" s="23"/>
    </row>
    <row r="742"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AI742" s="23"/>
      <c r="AJ742" s="23"/>
      <c r="AK742" s="23"/>
    </row>
    <row r="743"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AI743" s="23"/>
      <c r="AJ743" s="23"/>
      <c r="AK743" s="23"/>
    </row>
    <row r="744"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AI744" s="23"/>
      <c r="AJ744" s="23"/>
      <c r="AK744" s="23"/>
    </row>
    <row r="745"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AI745" s="23"/>
      <c r="AJ745" s="23"/>
      <c r="AK745" s="23"/>
    </row>
    <row r="746"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AI746" s="23"/>
      <c r="AJ746" s="23"/>
      <c r="AK746" s="23"/>
    </row>
    <row r="747"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AI747" s="23"/>
      <c r="AJ747" s="23"/>
      <c r="AK747" s="23"/>
    </row>
    <row r="748"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AI748" s="23"/>
      <c r="AJ748" s="23"/>
      <c r="AK748" s="23"/>
    </row>
    <row r="749"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AI749" s="23"/>
      <c r="AJ749" s="23"/>
      <c r="AK749" s="23"/>
    </row>
    <row r="750"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AI750" s="23"/>
      <c r="AJ750" s="23"/>
      <c r="AK750" s="23"/>
    </row>
    <row r="751"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AI751" s="23"/>
      <c r="AJ751" s="23"/>
      <c r="AK751" s="23"/>
    </row>
    <row r="752"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AI752" s="23"/>
      <c r="AJ752" s="23"/>
      <c r="AK752" s="23"/>
    </row>
    <row r="753"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AI753" s="23"/>
      <c r="AJ753" s="23"/>
      <c r="AK753" s="23"/>
    </row>
    <row r="754"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AI754" s="23"/>
      <c r="AJ754" s="23"/>
      <c r="AK754" s="23"/>
    </row>
    <row r="755"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AI755" s="23"/>
      <c r="AJ755" s="23"/>
      <c r="AK755" s="23"/>
    </row>
    <row r="756"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AI756" s="23"/>
      <c r="AJ756" s="23"/>
      <c r="AK756" s="23"/>
    </row>
    <row r="757"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AI757" s="23"/>
      <c r="AJ757" s="23"/>
      <c r="AK757" s="23"/>
    </row>
    <row r="758"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AI758" s="23"/>
      <c r="AJ758" s="23"/>
      <c r="AK758" s="23"/>
    </row>
    <row r="759"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AI759" s="23"/>
      <c r="AJ759" s="23"/>
      <c r="AK759" s="23"/>
    </row>
    <row r="760"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AI760" s="23"/>
      <c r="AJ760" s="23"/>
      <c r="AK760" s="23"/>
    </row>
    <row r="761"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AI761" s="23"/>
      <c r="AJ761" s="23"/>
      <c r="AK761" s="23"/>
    </row>
    <row r="762"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AI762" s="23"/>
      <c r="AJ762" s="23"/>
      <c r="AK762" s="23"/>
    </row>
    <row r="763"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AI763" s="23"/>
      <c r="AJ763" s="23"/>
      <c r="AK763" s="23"/>
    </row>
    <row r="764"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AI764" s="23"/>
      <c r="AJ764" s="23"/>
      <c r="AK764" s="23"/>
    </row>
    <row r="765"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AI765" s="23"/>
      <c r="AJ765" s="23"/>
      <c r="AK765" s="23"/>
    </row>
    <row r="766"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AI766" s="23"/>
      <c r="AJ766" s="23"/>
      <c r="AK766" s="23"/>
    </row>
    <row r="767"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AI767" s="23"/>
      <c r="AJ767" s="23"/>
      <c r="AK767" s="23"/>
    </row>
    <row r="768"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AI768" s="23"/>
      <c r="AJ768" s="23"/>
      <c r="AK768" s="23"/>
    </row>
    <row r="769"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AI769" s="23"/>
      <c r="AJ769" s="23"/>
      <c r="AK769" s="23"/>
    </row>
    <row r="770"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AI770" s="23"/>
      <c r="AJ770" s="23"/>
      <c r="AK770" s="23"/>
    </row>
    <row r="771"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AI771" s="23"/>
      <c r="AJ771" s="23"/>
      <c r="AK771" s="23"/>
    </row>
    <row r="772"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AI772" s="23"/>
      <c r="AJ772" s="23"/>
      <c r="AK772" s="23"/>
    </row>
    <row r="773"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AI773" s="23"/>
      <c r="AJ773" s="23"/>
      <c r="AK773" s="23"/>
    </row>
    <row r="774"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AI774" s="23"/>
      <c r="AJ774" s="23"/>
      <c r="AK774" s="23"/>
    </row>
    <row r="775"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AI775" s="23"/>
      <c r="AJ775" s="23"/>
      <c r="AK775" s="23"/>
    </row>
    <row r="776"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AI776" s="23"/>
      <c r="AJ776" s="23"/>
      <c r="AK776" s="23"/>
    </row>
    <row r="777"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AI777" s="23"/>
      <c r="AJ777" s="23"/>
      <c r="AK777" s="23"/>
    </row>
    <row r="778"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AI778" s="23"/>
      <c r="AJ778" s="23"/>
      <c r="AK778" s="23"/>
    </row>
    <row r="779"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AI779" s="23"/>
      <c r="AJ779" s="23"/>
      <c r="AK779" s="23"/>
    </row>
    <row r="780"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AI780" s="23"/>
      <c r="AJ780" s="23"/>
      <c r="AK780" s="23"/>
    </row>
    <row r="781"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AI781" s="23"/>
      <c r="AJ781" s="23"/>
      <c r="AK781" s="23"/>
    </row>
    <row r="782"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AI782" s="23"/>
      <c r="AJ782" s="23"/>
      <c r="AK782" s="23"/>
    </row>
    <row r="783"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AI783" s="23"/>
      <c r="AJ783" s="23"/>
      <c r="AK783" s="23"/>
    </row>
    <row r="784"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AI784" s="23"/>
      <c r="AJ784" s="23"/>
      <c r="AK784" s="23"/>
    </row>
    <row r="785"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AI785" s="23"/>
      <c r="AJ785" s="23"/>
      <c r="AK785" s="23"/>
    </row>
    <row r="786"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AI786" s="23"/>
      <c r="AJ786" s="23"/>
      <c r="AK786" s="23"/>
    </row>
    <row r="787"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AI787" s="23"/>
      <c r="AJ787" s="23"/>
      <c r="AK787" s="23"/>
    </row>
    <row r="788"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AI788" s="23"/>
      <c r="AJ788" s="23"/>
      <c r="AK788" s="23"/>
    </row>
    <row r="789"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AI789" s="23"/>
      <c r="AJ789" s="23"/>
      <c r="AK789" s="23"/>
    </row>
    <row r="790"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AI790" s="23"/>
      <c r="AJ790" s="23"/>
      <c r="AK790" s="23"/>
    </row>
    <row r="791"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AI791" s="23"/>
      <c r="AJ791" s="23"/>
      <c r="AK791" s="23"/>
    </row>
    <row r="792"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AI792" s="23"/>
      <c r="AJ792" s="23"/>
      <c r="AK792" s="23"/>
    </row>
    <row r="793"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AI793" s="23"/>
      <c r="AJ793" s="23"/>
      <c r="AK793" s="23"/>
    </row>
    <row r="794"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AI794" s="23"/>
      <c r="AJ794" s="23"/>
      <c r="AK794" s="23"/>
    </row>
    <row r="795"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AI795" s="23"/>
      <c r="AJ795" s="23"/>
      <c r="AK795" s="23"/>
    </row>
    <row r="796"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AI796" s="23"/>
      <c r="AJ796" s="23"/>
      <c r="AK796" s="23"/>
    </row>
    <row r="797"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AI797" s="23"/>
      <c r="AJ797" s="23"/>
      <c r="AK797" s="23"/>
    </row>
    <row r="798"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AI798" s="23"/>
      <c r="AJ798" s="23"/>
      <c r="AK798" s="23"/>
    </row>
    <row r="799"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AI799" s="23"/>
      <c r="AJ799" s="23"/>
      <c r="AK799" s="23"/>
    </row>
    <row r="800"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AI800" s="23"/>
      <c r="AJ800" s="23"/>
      <c r="AK800" s="23"/>
    </row>
    <row r="801"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AI801" s="23"/>
      <c r="AJ801" s="23"/>
      <c r="AK801" s="23"/>
    </row>
    <row r="802"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AI802" s="23"/>
      <c r="AJ802" s="23"/>
      <c r="AK802" s="23"/>
    </row>
    <row r="803"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AI803" s="23"/>
      <c r="AJ803" s="23"/>
      <c r="AK803" s="23"/>
    </row>
    <row r="804"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AI804" s="23"/>
      <c r="AJ804" s="23"/>
      <c r="AK804" s="23"/>
    </row>
    <row r="805"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AI805" s="23"/>
      <c r="AJ805" s="23"/>
      <c r="AK805" s="23"/>
    </row>
    <row r="806"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AI806" s="23"/>
      <c r="AJ806" s="23"/>
      <c r="AK806" s="23"/>
    </row>
    <row r="807"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AI807" s="23"/>
      <c r="AJ807" s="23"/>
      <c r="AK807" s="23"/>
    </row>
    <row r="808"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AI808" s="23"/>
      <c r="AJ808" s="23"/>
      <c r="AK808" s="23"/>
    </row>
    <row r="809"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AI809" s="23"/>
      <c r="AJ809" s="23"/>
      <c r="AK809" s="23"/>
    </row>
    <row r="810"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AI810" s="23"/>
      <c r="AJ810" s="23"/>
      <c r="AK810" s="23"/>
    </row>
    <row r="811"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AI811" s="23"/>
      <c r="AJ811" s="23"/>
      <c r="AK811" s="23"/>
    </row>
    <row r="812"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AI812" s="23"/>
      <c r="AJ812" s="23"/>
      <c r="AK812" s="23"/>
    </row>
    <row r="813"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AI813" s="23"/>
      <c r="AJ813" s="23"/>
      <c r="AK813" s="23"/>
    </row>
    <row r="814"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AI814" s="23"/>
      <c r="AJ814" s="23"/>
      <c r="AK814" s="23"/>
    </row>
    <row r="815"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AI815" s="23"/>
      <c r="AJ815" s="23"/>
      <c r="AK815" s="23"/>
    </row>
    <row r="816"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AI816" s="23"/>
      <c r="AJ816" s="23"/>
      <c r="AK816" s="23"/>
    </row>
    <row r="817"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AI817" s="23"/>
      <c r="AJ817" s="23"/>
      <c r="AK817" s="23"/>
    </row>
    <row r="818"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AI818" s="23"/>
      <c r="AJ818" s="23"/>
      <c r="AK818" s="23"/>
    </row>
    <row r="819"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AI819" s="23"/>
      <c r="AJ819" s="23"/>
      <c r="AK819" s="23"/>
    </row>
    <row r="820"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AI820" s="23"/>
      <c r="AJ820" s="23"/>
      <c r="AK820" s="23"/>
    </row>
    <row r="821"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AI821" s="23"/>
      <c r="AJ821" s="23"/>
      <c r="AK821" s="23"/>
    </row>
    <row r="822"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AI822" s="23"/>
      <c r="AJ822" s="23"/>
      <c r="AK822" s="23"/>
    </row>
    <row r="823"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AI823" s="23"/>
      <c r="AJ823" s="23"/>
      <c r="AK823" s="23"/>
    </row>
    <row r="824"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AI824" s="23"/>
      <c r="AJ824" s="23"/>
      <c r="AK824" s="23"/>
    </row>
    <row r="825"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AI825" s="23"/>
      <c r="AJ825" s="23"/>
      <c r="AK825" s="23"/>
    </row>
    <row r="826"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AI826" s="23"/>
      <c r="AJ826" s="23"/>
      <c r="AK826" s="23"/>
    </row>
    <row r="827"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AI827" s="23"/>
      <c r="AJ827" s="23"/>
      <c r="AK827" s="23"/>
    </row>
    <row r="828"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AI828" s="23"/>
      <c r="AJ828" s="23"/>
      <c r="AK828" s="23"/>
    </row>
    <row r="829"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AI829" s="23"/>
      <c r="AJ829" s="23"/>
      <c r="AK829" s="23"/>
    </row>
    <row r="830"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AI830" s="23"/>
      <c r="AJ830" s="23"/>
      <c r="AK830" s="23"/>
    </row>
    <row r="831"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AI831" s="23"/>
      <c r="AJ831" s="23"/>
      <c r="AK831" s="23"/>
    </row>
    <row r="832"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AI832" s="23"/>
      <c r="AJ832" s="23"/>
      <c r="AK832" s="23"/>
    </row>
    <row r="833"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AI833" s="23"/>
      <c r="AJ833" s="23"/>
      <c r="AK833" s="23"/>
    </row>
    <row r="834"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AI834" s="23"/>
      <c r="AJ834" s="23"/>
      <c r="AK834" s="23"/>
    </row>
    <row r="835"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AI835" s="23"/>
      <c r="AJ835" s="23"/>
      <c r="AK835" s="23"/>
    </row>
    <row r="836"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AI836" s="23"/>
      <c r="AJ836" s="23"/>
      <c r="AK836" s="23"/>
    </row>
    <row r="837"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AI837" s="23"/>
      <c r="AJ837" s="23"/>
      <c r="AK837" s="23"/>
    </row>
    <row r="838"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AI838" s="23"/>
      <c r="AJ838" s="23"/>
      <c r="AK838" s="23"/>
    </row>
    <row r="839"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AI839" s="23"/>
      <c r="AJ839" s="23"/>
      <c r="AK839" s="23"/>
    </row>
    <row r="840"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AI840" s="23"/>
      <c r="AJ840" s="23"/>
      <c r="AK840" s="23"/>
    </row>
    <row r="841"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AI841" s="23"/>
      <c r="AJ841" s="23"/>
      <c r="AK841" s="23"/>
    </row>
    <row r="842"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AI842" s="23"/>
      <c r="AJ842" s="23"/>
      <c r="AK842" s="23"/>
    </row>
    <row r="843"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AI843" s="23"/>
      <c r="AJ843" s="23"/>
      <c r="AK843" s="23"/>
    </row>
    <row r="844"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AI844" s="23"/>
      <c r="AJ844" s="23"/>
      <c r="AK844" s="23"/>
    </row>
    <row r="845"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AI845" s="23"/>
      <c r="AJ845" s="23"/>
      <c r="AK845" s="23"/>
    </row>
    <row r="846"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AI846" s="23"/>
      <c r="AJ846" s="23"/>
      <c r="AK846" s="23"/>
    </row>
    <row r="847"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AI847" s="23"/>
      <c r="AJ847" s="23"/>
      <c r="AK847" s="23"/>
    </row>
    <row r="848"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AI848" s="23"/>
      <c r="AJ848" s="23"/>
      <c r="AK848" s="23"/>
    </row>
    <row r="849"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AI849" s="23"/>
      <c r="AJ849" s="23"/>
      <c r="AK849" s="23"/>
    </row>
    <row r="850"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AI850" s="23"/>
      <c r="AJ850" s="23"/>
      <c r="AK850" s="23"/>
    </row>
    <row r="851"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AI851" s="23"/>
      <c r="AJ851" s="23"/>
      <c r="AK851" s="23"/>
    </row>
    <row r="852"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AI852" s="23"/>
      <c r="AJ852" s="23"/>
      <c r="AK852" s="23"/>
    </row>
    <row r="853"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AI853" s="23"/>
      <c r="AJ853" s="23"/>
      <c r="AK853" s="23"/>
    </row>
    <row r="854"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AI854" s="23"/>
      <c r="AJ854" s="23"/>
      <c r="AK854" s="23"/>
    </row>
    <row r="855"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AI855" s="23"/>
      <c r="AJ855" s="23"/>
      <c r="AK855" s="23"/>
    </row>
    <row r="856"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AI856" s="23"/>
      <c r="AJ856" s="23"/>
      <c r="AK856" s="23"/>
    </row>
    <row r="857"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AI857" s="23"/>
      <c r="AJ857" s="23"/>
      <c r="AK857" s="23"/>
    </row>
    <row r="858"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AI858" s="23"/>
      <c r="AJ858" s="23"/>
      <c r="AK858" s="23"/>
    </row>
    <row r="859"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AI859" s="23"/>
      <c r="AJ859" s="23"/>
      <c r="AK859" s="23"/>
    </row>
    <row r="860"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AI860" s="23"/>
      <c r="AJ860" s="23"/>
      <c r="AK860" s="23"/>
    </row>
    <row r="861"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AI861" s="23"/>
      <c r="AJ861" s="23"/>
      <c r="AK861" s="23"/>
    </row>
    <row r="862"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AI862" s="23"/>
      <c r="AJ862" s="23"/>
      <c r="AK862" s="23"/>
    </row>
    <row r="863"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AI863" s="23"/>
      <c r="AJ863" s="23"/>
      <c r="AK863" s="23"/>
    </row>
    <row r="864"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AI864" s="23"/>
      <c r="AJ864" s="23"/>
      <c r="AK864" s="23"/>
    </row>
    <row r="865"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AI865" s="23"/>
      <c r="AJ865" s="23"/>
      <c r="AK865" s="23"/>
    </row>
    <row r="866"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AI866" s="23"/>
      <c r="AJ866" s="23"/>
      <c r="AK866" s="23"/>
    </row>
    <row r="867"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AI867" s="23"/>
      <c r="AJ867" s="23"/>
      <c r="AK867" s="23"/>
    </row>
    <row r="868"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AI868" s="23"/>
      <c r="AJ868" s="23"/>
      <c r="AK868" s="23"/>
    </row>
    <row r="869"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AI869" s="23"/>
      <c r="AJ869" s="23"/>
      <c r="AK869" s="23"/>
    </row>
    <row r="870"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AI870" s="23"/>
      <c r="AJ870" s="23"/>
      <c r="AK870" s="23"/>
    </row>
    <row r="871"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AI871" s="23"/>
      <c r="AJ871" s="23"/>
      <c r="AK871" s="23"/>
    </row>
    <row r="872"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AI872" s="23"/>
      <c r="AJ872" s="23"/>
      <c r="AK872" s="23"/>
    </row>
    <row r="873"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AI873" s="23"/>
      <c r="AJ873" s="23"/>
      <c r="AK873" s="23"/>
    </row>
    <row r="874"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AI874" s="23"/>
      <c r="AJ874" s="23"/>
      <c r="AK874" s="23"/>
    </row>
    <row r="875"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AI875" s="23"/>
      <c r="AJ875" s="23"/>
      <c r="AK875" s="23"/>
    </row>
    <row r="876"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AI876" s="23"/>
      <c r="AJ876" s="23"/>
      <c r="AK876" s="23"/>
    </row>
    <row r="877"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AI877" s="23"/>
      <c r="AJ877" s="23"/>
      <c r="AK877" s="23"/>
    </row>
    <row r="878"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AI878" s="23"/>
      <c r="AJ878" s="23"/>
      <c r="AK878" s="23"/>
    </row>
    <row r="879"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AI879" s="23"/>
      <c r="AJ879" s="23"/>
      <c r="AK879" s="23"/>
    </row>
    <row r="880"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AI880" s="23"/>
      <c r="AJ880" s="23"/>
      <c r="AK880" s="23"/>
    </row>
    <row r="881"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AI881" s="23"/>
      <c r="AJ881" s="23"/>
      <c r="AK881" s="23"/>
    </row>
    <row r="882"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AI882" s="23"/>
      <c r="AJ882" s="23"/>
      <c r="AK882" s="23"/>
    </row>
    <row r="883"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AI883" s="23"/>
      <c r="AJ883" s="23"/>
      <c r="AK883" s="23"/>
    </row>
    <row r="884"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AI884" s="23"/>
      <c r="AJ884" s="23"/>
      <c r="AK884" s="23"/>
    </row>
    <row r="885"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AI885" s="23"/>
      <c r="AJ885" s="23"/>
      <c r="AK885" s="23"/>
    </row>
    <row r="886"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AI886" s="23"/>
      <c r="AJ886" s="23"/>
      <c r="AK886" s="23"/>
    </row>
    <row r="887"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AI887" s="23"/>
      <c r="AJ887" s="23"/>
      <c r="AK887" s="23"/>
    </row>
    <row r="888"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AI888" s="23"/>
      <c r="AJ888" s="23"/>
      <c r="AK888" s="23"/>
    </row>
    <row r="889"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AI889" s="23"/>
      <c r="AJ889" s="23"/>
      <c r="AK889" s="23"/>
    </row>
    <row r="890"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AI890" s="23"/>
      <c r="AJ890" s="23"/>
      <c r="AK890" s="23"/>
    </row>
    <row r="891"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AI891" s="23"/>
      <c r="AJ891" s="23"/>
      <c r="AK891" s="23"/>
    </row>
    <row r="892"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AI892" s="23"/>
      <c r="AJ892" s="23"/>
      <c r="AK892" s="23"/>
    </row>
    <row r="893"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AI893" s="23"/>
      <c r="AJ893" s="23"/>
      <c r="AK893" s="23"/>
    </row>
    <row r="894"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AI894" s="23"/>
      <c r="AJ894" s="23"/>
      <c r="AK894" s="23"/>
    </row>
    <row r="895"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AI895" s="23"/>
      <c r="AJ895" s="23"/>
      <c r="AK895" s="23"/>
    </row>
    <row r="896"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AI896" s="23"/>
      <c r="AJ896" s="23"/>
      <c r="AK896" s="23"/>
    </row>
    <row r="897"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AI897" s="23"/>
      <c r="AJ897" s="23"/>
      <c r="AK897" s="23"/>
    </row>
    <row r="898"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AI898" s="23"/>
      <c r="AJ898" s="23"/>
      <c r="AK898" s="23"/>
    </row>
    <row r="899"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AI899" s="23"/>
      <c r="AJ899" s="23"/>
      <c r="AK899" s="23"/>
    </row>
    <row r="900"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AI900" s="23"/>
      <c r="AJ900" s="23"/>
      <c r="AK900" s="23"/>
    </row>
    <row r="901"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AI901" s="23"/>
      <c r="AJ901" s="23"/>
      <c r="AK901" s="23"/>
    </row>
    <row r="902"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AI902" s="23"/>
      <c r="AJ902" s="23"/>
      <c r="AK902" s="23"/>
    </row>
    <row r="903"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AI903" s="23"/>
      <c r="AJ903" s="23"/>
      <c r="AK903" s="23"/>
    </row>
    <row r="904"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AI904" s="23"/>
      <c r="AJ904" s="23"/>
      <c r="AK904" s="23"/>
    </row>
    <row r="905"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AI905" s="23"/>
      <c r="AJ905" s="23"/>
      <c r="AK905" s="23"/>
    </row>
    <row r="906"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AI906" s="23"/>
      <c r="AJ906" s="23"/>
      <c r="AK906" s="23"/>
    </row>
    <row r="907"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AI907" s="23"/>
      <c r="AJ907" s="23"/>
      <c r="AK907" s="23"/>
    </row>
    <row r="908"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AI908" s="23"/>
      <c r="AJ908" s="23"/>
      <c r="AK908" s="23"/>
    </row>
    <row r="909"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AI909" s="23"/>
      <c r="AJ909" s="23"/>
      <c r="AK909" s="23"/>
    </row>
    <row r="910"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AI910" s="23"/>
      <c r="AJ910" s="23"/>
      <c r="AK910" s="23"/>
    </row>
    <row r="911"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AI911" s="23"/>
      <c r="AJ911" s="23"/>
      <c r="AK911" s="23"/>
    </row>
    <row r="912"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AI912" s="23"/>
      <c r="AJ912" s="23"/>
      <c r="AK912" s="23"/>
    </row>
    <row r="913"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AI913" s="23"/>
      <c r="AJ913" s="23"/>
      <c r="AK913" s="23"/>
    </row>
    <row r="914"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AI914" s="23"/>
      <c r="AJ914" s="23"/>
      <c r="AK914" s="23"/>
    </row>
    <row r="915"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AI915" s="23"/>
      <c r="AJ915" s="23"/>
      <c r="AK915" s="23"/>
    </row>
    <row r="916"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AI916" s="23"/>
      <c r="AJ916" s="23"/>
      <c r="AK916" s="23"/>
    </row>
    <row r="917"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AI917" s="23"/>
      <c r="AJ917" s="23"/>
      <c r="AK917" s="23"/>
    </row>
    <row r="918"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AI918" s="23"/>
      <c r="AJ918" s="23"/>
      <c r="AK918" s="23"/>
    </row>
    <row r="919"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AI919" s="23"/>
      <c r="AJ919" s="23"/>
      <c r="AK919" s="23"/>
    </row>
    <row r="920"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AI920" s="23"/>
      <c r="AJ920" s="23"/>
      <c r="AK920" s="23"/>
    </row>
    <row r="921"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AI921" s="23"/>
      <c r="AJ921" s="23"/>
      <c r="AK921" s="23"/>
    </row>
    <row r="922"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AI922" s="23"/>
      <c r="AJ922" s="23"/>
      <c r="AK922" s="23"/>
    </row>
    <row r="923"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AI923" s="23"/>
      <c r="AJ923" s="23"/>
      <c r="AK923" s="23"/>
    </row>
    <row r="924"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AI924" s="23"/>
      <c r="AJ924" s="23"/>
      <c r="AK924" s="23"/>
    </row>
    <row r="925"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AI925" s="23"/>
      <c r="AJ925" s="23"/>
      <c r="AK925" s="23"/>
    </row>
    <row r="926"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AI926" s="23"/>
      <c r="AJ926" s="23"/>
      <c r="AK926" s="23"/>
    </row>
    <row r="927"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AI927" s="23"/>
      <c r="AJ927" s="23"/>
      <c r="AK927" s="23"/>
    </row>
    <row r="928"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AI928" s="23"/>
      <c r="AJ928" s="23"/>
      <c r="AK928" s="23"/>
    </row>
    <row r="929"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AI929" s="23"/>
      <c r="AJ929" s="23"/>
      <c r="AK929" s="23"/>
    </row>
    <row r="930"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AI930" s="23"/>
      <c r="AJ930" s="23"/>
      <c r="AK930" s="23"/>
    </row>
    <row r="931"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AI931" s="23"/>
      <c r="AJ931" s="23"/>
      <c r="AK931" s="23"/>
    </row>
    <row r="932"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AI932" s="23"/>
      <c r="AJ932" s="23"/>
      <c r="AK932" s="23"/>
    </row>
    <row r="933"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AI933" s="23"/>
      <c r="AJ933" s="23"/>
      <c r="AK933" s="23"/>
    </row>
    <row r="934"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AI934" s="23"/>
      <c r="AJ934" s="23"/>
      <c r="AK934" s="23"/>
    </row>
    <row r="935"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AI935" s="23"/>
      <c r="AJ935" s="23"/>
      <c r="AK935" s="23"/>
    </row>
    <row r="936"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AI936" s="23"/>
      <c r="AJ936" s="23"/>
      <c r="AK936" s="23"/>
    </row>
    <row r="937"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AI937" s="23"/>
      <c r="AJ937" s="23"/>
      <c r="AK937" s="23"/>
    </row>
    <row r="938"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AI938" s="23"/>
      <c r="AJ938" s="23"/>
      <c r="AK938" s="23"/>
    </row>
    <row r="939"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AI939" s="23"/>
      <c r="AJ939" s="23"/>
      <c r="AK939" s="23"/>
    </row>
    <row r="940"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AI940" s="23"/>
      <c r="AJ940" s="23"/>
      <c r="AK940" s="23"/>
    </row>
    <row r="941"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AI941" s="23"/>
      <c r="AJ941" s="23"/>
      <c r="AK941" s="23"/>
    </row>
    <row r="942"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AI942" s="23"/>
      <c r="AJ942" s="23"/>
      <c r="AK942" s="23"/>
    </row>
    <row r="943"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AI943" s="23"/>
      <c r="AJ943" s="23"/>
      <c r="AK943" s="23"/>
    </row>
    <row r="944"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AI944" s="23"/>
      <c r="AJ944" s="23"/>
      <c r="AK944" s="23"/>
    </row>
    <row r="945"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AI945" s="23"/>
      <c r="AJ945" s="23"/>
      <c r="AK945" s="23"/>
    </row>
    <row r="946"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AI946" s="23"/>
      <c r="AJ946" s="23"/>
      <c r="AK946" s="23"/>
    </row>
    <row r="947"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AI947" s="23"/>
      <c r="AJ947" s="23"/>
      <c r="AK947" s="23"/>
    </row>
    <row r="948"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AI948" s="23"/>
      <c r="AJ948" s="23"/>
      <c r="AK948" s="23"/>
    </row>
    <row r="949"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AI949" s="23"/>
      <c r="AJ949" s="23"/>
      <c r="AK949" s="23"/>
    </row>
    <row r="950"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AI950" s="23"/>
      <c r="AJ950" s="23"/>
      <c r="AK950" s="23"/>
    </row>
    <row r="951"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AI951" s="23"/>
      <c r="AJ951" s="23"/>
      <c r="AK951" s="23"/>
    </row>
    <row r="952"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AI952" s="23"/>
      <c r="AJ952" s="23"/>
      <c r="AK952" s="23"/>
    </row>
    <row r="953"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AI953" s="23"/>
      <c r="AJ953" s="23"/>
      <c r="AK953" s="23"/>
    </row>
    <row r="954"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AI954" s="23"/>
      <c r="AJ954" s="23"/>
      <c r="AK954" s="23"/>
    </row>
    <row r="955"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AI955" s="23"/>
      <c r="AJ955" s="23"/>
      <c r="AK955" s="23"/>
    </row>
    <row r="956"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AI956" s="23"/>
      <c r="AJ956" s="23"/>
      <c r="AK956" s="23"/>
    </row>
    <row r="957"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AI957" s="23"/>
      <c r="AJ957" s="23"/>
      <c r="AK957" s="23"/>
    </row>
    <row r="958"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AI958" s="23"/>
      <c r="AJ958" s="23"/>
      <c r="AK958" s="23"/>
    </row>
    <row r="959"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AI959" s="23"/>
      <c r="AJ959" s="23"/>
      <c r="AK959" s="23"/>
    </row>
    <row r="960"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AI960" s="23"/>
      <c r="AJ960" s="23"/>
      <c r="AK960" s="23"/>
    </row>
    <row r="961"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AI961" s="23"/>
      <c r="AJ961" s="23"/>
      <c r="AK961" s="23"/>
    </row>
    <row r="962"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AI962" s="23"/>
      <c r="AJ962" s="23"/>
      <c r="AK962" s="23"/>
    </row>
    <row r="963"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AI963" s="23"/>
      <c r="AJ963" s="23"/>
      <c r="AK963" s="23"/>
    </row>
    <row r="964"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AI964" s="23"/>
      <c r="AJ964" s="23"/>
      <c r="AK964" s="23"/>
    </row>
    <row r="965"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AI965" s="23"/>
      <c r="AJ965" s="23"/>
      <c r="AK965" s="23"/>
    </row>
    <row r="966"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AI966" s="23"/>
      <c r="AJ966" s="23"/>
      <c r="AK966" s="23"/>
    </row>
    <row r="967"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AI967" s="23"/>
      <c r="AJ967" s="23"/>
      <c r="AK967" s="23"/>
    </row>
    <row r="968"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AI968" s="23"/>
      <c r="AJ968" s="23"/>
      <c r="AK968" s="23"/>
    </row>
    <row r="969"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AI969" s="23"/>
      <c r="AJ969" s="23"/>
      <c r="AK969" s="23"/>
    </row>
    <row r="970"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AI970" s="23"/>
      <c r="AJ970" s="23"/>
      <c r="AK970" s="23"/>
    </row>
    <row r="971"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AI971" s="23"/>
      <c r="AJ971" s="23"/>
      <c r="AK971" s="23"/>
    </row>
    <row r="972"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AI972" s="23"/>
      <c r="AJ972" s="23"/>
      <c r="AK972" s="23"/>
    </row>
    <row r="973"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AI973" s="23"/>
      <c r="AJ973" s="23"/>
      <c r="AK973" s="23"/>
    </row>
    <row r="974"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AI974" s="23"/>
      <c r="AJ974" s="23"/>
      <c r="AK974" s="23"/>
    </row>
    <row r="975"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AI975" s="23"/>
      <c r="AJ975" s="23"/>
      <c r="AK975" s="23"/>
    </row>
    <row r="976"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AI976" s="23"/>
      <c r="AJ976" s="23"/>
      <c r="AK976" s="23"/>
    </row>
    <row r="977"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AI977" s="23"/>
      <c r="AJ977" s="23"/>
      <c r="AK977" s="23"/>
    </row>
    <row r="978"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AI978" s="23"/>
      <c r="AJ978" s="23"/>
      <c r="AK978" s="23"/>
    </row>
    <row r="979"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AI979" s="23"/>
      <c r="AJ979" s="23"/>
      <c r="AK979" s="23"/>
    </row>
    <row r="980"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AI980" s="23"/>
      <c r="AJ980" s="23"/>
      <c r="AK980" s="23"/>
    </row>
    <row r="981"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AI981" s="23"/>
      <c r="AJ981" s="23"/>
      <c r="AK981" s="23"/>
    </row>
    <row r="982"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AI982" s="23"/>
      <c r="AJ982" s="23"/>
      <c r="AK982" s="23"/>
    </row>
    <row r="983"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AI983" s="23"/>
      <c r="AJ983" s="23"/>
      <c r="AK983" s="23"/>
    </row>
    <row r="984"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AI984" s="23"/>
      <c r="AJ984" s="23"/>
      <c r="AK984" s="23"/>
    </row>
    <row r="985"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AI985" s="23"/>
      <c r="AJ985" s="23"/>
      <c r="AK985" s="23"/>
    </row>
    <row r="986"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AI986" s="23"/>
      <c r="AJ986" s="23"/>
      <c r="AK986" s="23"/>
    </row>
    <row r="987"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AI987" s="23"/>
      <c r="AJ987" s="23"/>
      <c r="AK987" s="23"/>
    </row>
    <row r="988"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AI988" s="23"/>
      <c r="AJ988" s="23"/>
      <c r="AK988" s="23"/>
    </row>
    <row r="989"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AI989" s="23"/>
      <c r="AJ989" s="23"/>
      <c r="AK989" s="23"/>
    </row>
    <row r="990"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AI990" s="23"/>
      <c r="AJ990" s="23"/>
      <c r="AK990" s="23"/>
    </row>
    <row r="991"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AI991" s="23"/>
      <c r="AJ991" s="23"/>
      <c r="AK991" s="23"/>
    </row>
    <row r="992"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AI992" s="23"/>
      <c r="AJ992" s="23"/>
      <c r="AK992" s="23"/>
    </row>
    <row r="993"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AI993" s="23"/>
      <c r="AJ993" s="23"/>
      <c r="AK993" s="23"/>
    </row>
    <row r="994"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AI994" s="23"/>
      <c r="AJ994" s="23"/>
      <c r="AK994" s="23"/>
    </row>
    <row r="995"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AI995" s="23"/>
      <c r="AJ995" s="23"/>
      <c r="AK995" s="23"/>
    </row>
    <row r="996"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AI996" s="23"/>
      <c r="AJ996" s="23"/>
      <c r="AK996" s="23"/>
    </row>
    <row r="997"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AI997" s="23"/>
      <c r="AJ997" s="23"/>
      <c r="AK997" s="23"/>
    </row>
    <row r="998"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AI998" s="23"/>
      <c r="AJ998" s="23"/>
      <c r="AK998" s="23"/>
    </row>
    <row r="999"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AI999" s="23"/>
      <c r="AJ999" s="23"/>
      <c r="AK999" s="23"/>
    </row>
    <row r="1000"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AI1000" s="23"/>
      <c r="AJ1000" s="23"/>
      <c r="AK1000" s="23"/>
    </row>
    <row r="1001"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AI1001" s="23"/>
      <c r="AJ1001" s="23"/>
      <c r="AK1001" s="23"/>
    </row>
    <row r="1002"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AI1002" s="23"/>
      <c r="AJ1002" s="23"/>
      <c r="AK1002" s="23"/>
    </row>
    <row r="1003"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AI1003" s="23"/>
      <c r="AJ1003" s="23"/>
      <c r="AK1003" s="23"/>
    </row>
    <row r="1004"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AI1004" s="23"/>
      <c r="AJ1004" s="23"/>
      <c r="AK1004" s="23"/>
    </row>
    <row r="1005"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AI1005" s="23"/>
      <c r="AJ1005" s="23"/>
      <c r="AK1005" s="23"/>
    </row>
    <row r="1006"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AI1006" s="23"/>
      <c r="AJ1006" s="23"/>
      <c r="AK1006" s="23"/>
    </row>
    <row r="1007"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AI1007" s="23"/>
      <c r="AJ1007" s="23"/>
      <c r="AK1007" s="23"/>
    </row>
  </sheetData>
  <conditionalFormatting sqref="M2:V1007">
    <cfRule type="colorScale" priority="1">
      <colorScale>
        <cfvo type="min"/>
        <cfvo type="max"/>
        <color rgb="FFD9EAD3"/>
        <color rgb="FF62AA43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